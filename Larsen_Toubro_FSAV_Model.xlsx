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7.xml.rels" ContentType="application/vnd.openxmlformats-package.relationships+xml"/>
  <Override PartName="/xl/worksheets/_rels/sheet14.xml.rels" ContentType="application/vnd.openxmlformats-package.relationships+xml"/>
  <Override PartName="/xl/worksheets/_rels/sheet6.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Cover &amp; Summary" sheetId="1" state="visible" r:id="rId3"/>
    <sheet name="Assumptions &amp; Drivers" sheetId="2" state="visible" r:id="rId4"/>
    <sheet name="Income Statement" sheetId="3" state="visible" r:id="rId5"/>
    <sheet name="Balance Sheet" sheetId="4" state="visible" r:id="rId6"/>
    <sheet name="Cash Flow Statement" sheetId="5" state="visible" r:id="rId7"/>
    <sheet name="Segments &amp; Core" sheetId="6" state="visible" r:id="rId8"/>
    <sheet name="Five-Year Trend &amp; DuPont" sheetId="7" state="visible" r:id="rId9"/>
    <sheet name="Ratio Analysis" sheetId="8" state="visible" r:id="rId10"/>
    <sheet name="Beta Calculation" sheetId="9" state="visible" r:id="rId11"/>
    <sheet name="Capital Structure &amp; WACC" sheetId="10" state="visible" r:id="rId12"/>
    <sheet name="Forecast &amp; FCFF" sheetId="11" state="visible" r:id="rId13"/>
    <sheet name="DCF Valuation" sheetId="12" state="visible" r:id="rId14"/>
    <sheet name="Comparable Valuation" sheetId="13" state="visible" r:id="rId15"/>
    <sheet name="Football Field" sheetId="14" state="visible" r:id="rId16"/>
    <sheet name="Sources &amp; Notes" sheetId="15" state="visible" r:id="rId1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<sst xmlns="http://schemas.openxmlformats.org/spreadsheetml/2006/main" count="786" uniqueCount="616">
  <si>
    <t xml:space="preserve">LARSEN &amp; TOUBRO LIMITED (NSE: LT)</t>
  </si>
  <si>
    <t xml:space="preserve">Financial Statement Analysis and Valuation (FSAV) master model: built on audited consolidated FY25 and FY26 results, ten-year core forecast, DCF and comparables.</t>
  </si>
  <si>
    <t xml:space="preserve">Company snapshot</t>
  </si>
  <si>
    <t xml:space="preserve">Value</t>
  </si>
  <si>
    <t xml:space="preserve">Company</t>
  </si>
  <si>
    <t xml:space="preserve">Larsen &amp; Toubro Limited</t>
  </si>
  <si>
    <t xml:space="preserve">Sector</t>
  </si>
  <si>
    <t xml:space="preserve">Engineering and construction, IT services, hi-tech manufacturing, financial services</t>
  </si>
  <si>
    <t xml:space="preserve">Pricing date</t>
  </si>
  <si>
    <t xml:space="preserve">Share price (INR)</t>
  </si>
  <si>
    <t xml:space="preserve">Shares outstanding (Crore)</t>
  </si>
  <si>
    <t xml:space="preserve">Market capitalisation (INR Crore)</t>
  </si>
  <si>
    <t xml:space="preserve">FY26 revenue (INR Crore)</t>
  </si>
  <si>
    <t xml:space="preserve">FY26 EBITDA (INR Crore) and margin</t>
  </si>
  <si>
    <t xml:space="preserve">FY26 PAT attributable to owners (INR Crore)</t>
  </si>
  <si>
    <t xml:space="preserve">Order book, 31 Mar 2026 (INR Crore)</t>
  </si>
  <si>
    <t xml:space="preserve">Valuation summary (INR per share)</t>
  </si>
  <si>
    <t xml:space="preserve">Low</t>
  </si>
  <si>
    <t xml:space="preserve">Mid</t>
  </si>
  <si>
    <t xml:space="preserve">High</t>
  </si>
  <si>
    <t xml:space="preserve">DCF: bear / base / bull</t>
  </si>
  <si>
    <t xml:space="preserve">Comps: EV/EBITDA on core business</t>
  </si>
  <si>
    <t xml:space="preserve">Comps: P/E on consolidated EPS</t>
  </si>
  <si>
    <t xml:space="preserve">52-week trading range</t>
  </si>
  <si>
    <t xml:space="preserve">Model integrity checks</t>
  </si>
  <si>
    <t xml:space="preserve">Result</t>
  </si>
  <si>
    <t xml:space="preserve">Balance sheet balances (FY25, FY26)</t>
  </si>
  <si>
    <t xml:space="preserve">Total assets match audited figures</t>
  </si>
  <si>
    <t xml:space="preserve">Income statement ties to audited PBT</t>
  </si>
  <si>
    <t xml:space="preserve">Cash flow closes to balance sheet cash</t>
  </si>
  <si>
    <t xml:space="preserve">EPS from share count matches reported EPS (within INR 0.05)</t>
  </si>
  <si>
    <t xml:space="preserve">Football field: every low &lt;= mid &lt;= high</t>
  </si>
  <si>
    <t xml:space="preserve">Net debt / equity matches company-reported 0.95x</t>
  </si>
  <si>
    <t xml:space="preserve">Tab index</t>
  </si>
  <si>
    <t xml:space="preserve">Assumptions &amp; Drivers</t>
  </si>
  <si>
    <t xml:space="preserve">Inputs, scenarios and base-case paths</t>
  </si>
  <si>
    <t xml:space="preserve">Income Statement</t>
  </si>
  <si>
    <t xml:space="preserve">Audited income statement FY25-FY26 and five-year trend</t>
  </si>
  <si>
    <t xml:space="preserve">Balance Sheet</t>
  </si>
  <si>
    <t xml:space="preserve">Audited balance sheet</t>
  </si>
  <si>
    <t xml:space="preserve">Cash Flow Statement</t>
  </si>
  <si>
    <t xml:space="preserve">Audited cash flow</t>
  </si>
  <si>
    <t xml:space="preserve">Segments &amp; Core</t>
  </si>
  <si>
    <t xml:space="preserve">Segments and the core (ex-financial services) view</t>
  </si>
  <si>
    <t xml:space="preserve">Five-Year Trend &amp; DuPont</t>
  </si>
  <si>
    <t xml:space="preserve">Five-year trend, DuPont ROE and working-capital days, FY22-FY26</t>
  </si>
  <si>
    <t xml:space="preserve">Ratio Analysis</t>
  </si>
  <si>
    <t xml:space="preserve">Ratios, DuPont, Altman Z"</t>
  </si>
  <si>
    <t xml:space="preserve">Beta Calculation</t>
  </si>
  <si>
    <t xml:space="preserve">Beta regression, L&amp;T vs Nifty 50</t>
  </si>
  <si>
    <t xml:space="preserve">Capital Structure &amp; WACC</t>
  </si>
  <si>
    <t xml:space="preserve">CAPM and WACC</t>
  </si>
  <si>
    <t xml:space="preserve">Forecast &amp; FCFF</t>
  </si>
  <si>
    <t xml:space="preserve">Ten-year core forecast and FCFF, three scenarios</t>
  </si>
  <si>
    <t xml:space="preserve">DCF Valuation</t>
  </si>
  <si>
    <t xml:space="preserve">Sum-of-the-parts DCF and sensitivity grid</t>
  </si>
  <si>
    <t xml:space="preserve">Comparable Valuation</t>
  </si>
  <si>
    <t xml:space="preserve">Peer multiples and implied values</t>
  </si>
  <si>
    <t xml:space="preserve">Football Field</t>
  </si>
  <si>
    <t xml:space="preserve">Football field</t>
  </si>
  <si>
    <t xml:space="preserve">Sources &amp; Notes</t>
  </si>
  <si>
    <t xml:space="preserve">Sources, method and caveats</t>
  </si>
  <si>
    <t xml:space="preserve">ASSUMPTIONS AND DRIVERS</t>
  </si>
  <si>
    <t xml:space="preserve">Blue = input. Update the share price (B5) to the latest close before presenting. Every output in the workbook recalculates from this sheet.</t>
  </si>
  <si>
    <t xml:space="preserve">Parameter</t>
  </si>
  <si>
    <t xml:space="preserve">Source / rationale</t>
  </si>
  <si>
    <t xml:space="preserve">Market data</t>
  </si>
  <si>
    <t xml:space="preserve">NSE close, 29 Oct 2026 (Screener). Replace with the latest close.</t>
  </si>
  <si>
    <t xml:space="preserve">29 Oct 2026</t>
  </si>
  <si>
    <t xml:space="preserve">Face value per share (INR)</t>
  </si>
  <si>
    <t xml:space="preserve">L&amp;T equity share, face value INR 2</t>
  </si>
  <si>
    <t xml:space="preserve">Paid-up equity share capital (INR Crore)</t>
  </si>
  <si>
    <t xml:space="preserve">Audited balance sheet, 31 Mar 2026</t>
  </si>
  <si>
    <t xml:space="preserve">Shares outstanding (Crore) = capital / face value</t>
  </si>
  <si>
    <t xml:space="preserve">About 137.6 Cr shares</t>
  </si>
  <si>
    <t xml:space="preserve">Price x shares</t>
  </si>
  <si>
    <t xml:space="preserve">52-week low (INR)</t>
  </si>
  <si>
    <t xml:space="preserve">Exchange data, as at Oct 2026</t>
  </si>
  <si>
    <t xml:space="preserve">52-week high (INR)</t>
  </si>
  <si>
    <t xml:space="preserve">Cost of capital</t>
  </si>
  <si>
    <t xml:space="preserve">Risk-free rate</t>
  </si>
  <si>
    <t xml:space="preserve">10-year G-Sec yield: about 6.9% in late Aug 2026 (Trading Economics); rounded to 7.0%</t>
  </si>
  <si>
    <t xml:space="preserve">Equity risk premium</t>
  </si>
  <si>
    <t xml:space="preserve">India: 5.5%, inside the 5% to 6% range commonly used by Indian brokers; sensitise (WACC moves about 0.5 point per 0.5 point of ERP)</t>
  </si>
  <si>
    <t xml:space="preserve">Pre-tax cost of debt</t>
  </si>
  <si>
    <t xml:space="preserve">Weighted average cost of core borrowings</t>
  </si>
  <si>
    <t xml:space="preserve">Marginal tax rate</t>
  </si>
  <si>
    <t xml:space="preserve">Statutory 25.17% (22% + surcharge + cess)</t>
  </si>
  <si>
    <t xml:space="preserve">Core corporate borrowings (INR Crore)</t>
  </si>
  <si>
    <t xml:space="preserve">Unallocable corporate liabilities, mainly borrowings (segment note, 31 Mar 2026); financial-services debt excluded</t>
  </si>
  <si>
    <t xml:space="preserve">Valuation bridge (non-DCF items)</t>
  </si>
  <si>
    <t xml:space="preserve">Core corporate investments (INR Crore)</t>
  </si>
  <si>
    <t xml:space="preserve">Unallocable corporate assets, mainly investments (segment note, 31 Mar 2026)</t>
  </si>
  <si>
    <t xml:space="preserve">Investments in JVs and associates (INR Crore)</t>
  </si>
  <si>
    <t xml:space="preserve">Balance sheet; their profit sits below EBITDA so is not in FCFF</t>
  </si>
  <si>
    <t xml:space="preserve">Financial services price-to-book multiple</t>
  </si>
  <si>
    <t xml:space="preserve">Analyst assumption for L&amp;T Finance; sensitise it</t>
  </si>
  <si>
    <t xml:space="preserve">Multiple applied to minority profit</t>
  </si>
  <si>
    <t xml:space="preserve">Analyst assumption: blended P/E of listed subsidiaries (IT services, finance, engineering services)</t>
  </si>
  <si>
    <t xml:space="preserve">Operating drivers (core business)</t>
  </si>
  <si>
    <t xml:space="preserve">Tax rate on EBIT</t>
  </si>
  <si>
    <t xml:space="preserve">FY26 effective rate on profit before exceptional items was about 26%</t>
  </si>
  <si>
    <t xml:space="preserve">Capex as % of core revenue</t>
  </si>
  <si>
    <t xml:space="preserve">FY26 capex was about 1.8% of revenue; 2.2% allows for hydrogen, data-centre and manufacturing investment</t>
  </si>
  <si>
    <t xml:space="preserve">Depreciation as % of core revenue</t>
  </si>
  <si>
    <t xml:space="preserve">FY26 group depreciation was about 1.6% of core revenue</t>
  </si>
  <si>
    <t xml:space="preserve">Net working capital % of core revenue, FY26</t>
  </si>
  <si>
    <t xml:space="preserve">Company reported about 4.1% at March 2026, a multi-year low</t>
  </si>
  <si>
    <t xml:space="preserve">Scenario table</t>
  </si>
  <si>
    <t xml:space="preserve">Driver</t>
  </si>
  <si>
    <t xml:space="preserve">Bear</t>
  </si>
  <si>
    <t xml:space="preserve">Base</t>
  </si>
  <si>
    <t xml:space="preserve">Bull</t>
  </si>
  <si>
    <t xml:space="preserve">Revenue growth adjustment vs base path</t>
  </si>
  <si>
    <t xml:space="preserve">EBITDA margin adjustment vs base path</t>
  </si>
  <si>
    <t xml:space="preserve">WACC adjustment</t>
  </si>
  <si>
    <t xml:space="preserve">Terminal growth rate</t>
  </si>
  <si>
    <t xml:space="preserve">Base-case paths by year</t>
  </si>
  <si>
    <t xml:space="preserve">FY26A</t>
  </si>
  <si>
    <t xml:space="preserve">FY27E</t>
  </si>
  <si>
    <t xml:space="preserve">FY28E</t>
  </si>
  <si>
    <t xml:space="preserve">FY29E</t>
  </si>
  <si>
    <t xml:space="preserve">FY30E</t>
  </si>
  <si>
    <t xml:space="preserve">FY31E</t>
  </si>
  <si>
    <t xml:space="preserve">FY32E</t>
  </si>
  <si>
    <t xml:space="preserve">FY33E</t>
  </si>
  <si>
    <t xml:space="preserve">FY34E</t>
  </si>
  <si>
    <t xml:space="preserve">FY35E</t>
  </si>
  <si>
    <t xml:space="preserve">FY36E</t>
  </si>
  <si>
    <t xml:space="preserve">Core revenue growth</t>
  </si>
  <si>
    <t xml:space="preserve">FY26 grew 12%; order book INR 7.4 lakh Cr is about 3.4x core revenue; growth fades to 6%</t>
  </si>
  <si>
    <t xml:space="preserve">Core EBITDA margin</t>
  </si>
  <si>
    <t xml:space="preserve">FY26 core margin about 9.4%; gradual mix-led expansion to 10%</t>
  </si>
  <si>
    <t xml:space="preserve">Net working capital % of core revenue</t>
  </si>
  <si>
    <t xml:space="preserve">Normalises from the FY26 low of 4.1% towards 6%</t>
  </si>
  <si>
    <t xml:space="preserve">CONSOLIDATED INCOME STATEMENT (INR Crore)</t>
  </si>
  <si>
    <t xml:space="preserve">Source: Larsen &amp; Toubro audited consolidated results for the year ended 31 March 2026 (filed 5 May 2026). Blue = reported input, black = formula.</t>
  </si>
  <si>
    <t xml:space="preserve">Particulars</t>
  </si>
  <si>
    <t xml:space="preserve">FY25A</t>
  </si>
  <si>
    <t xml:space="preserve">Revenue from operations</t>
  </si>
  <si>
    <t xml:space="preserve">Other income (net)</t>
  </si>
  <si>
    <t xml:space="preserve">Total income</t>
  </si>
  <si>
    <t xml:space="preserve">Cost of raw materials and components consumed</t>
  </si>
  <si>
    <t xml:space="preserve">Construction materials consumed</t>
  </si>
  <si>
    <t xml:space="preserve">Purchase of stock-in-trade</t>
  </si>
  <si>
    <t xml:space="preserve">Stores, spares and loose tools consumed</t>
  </si>
  <si>
    <t xml:space="preserve">Sub-contracting charges</t>
  </si>
  <si>
    <t xml:space="preserve">Changes in inventories of FG, stock-in-trade and WIP</t>
  </si>
  <si>
    <t xml:space="preserve">Other manufacturing, construction and operating expenses</t>
  </si>
  <si>
    <t xml:space="preserve">Manufacturing, construction and operating expenses</t>
  </si>
  <si>
    <t xml:space="preserve">Finance cost of financial services business</t>
  </si>
  <si>
    <t xml:space="preserve">Employee benefits expense</t>
  </si>
  <si>
    <t xml:space="preserve">Sales, administration and other expenses</t>
  </si>
  <si>
    <t xml:space="preserve">EBITDA (company definition: revenue less operating costs, before other income)</t>
  </si>
  <si>
    <t xml:space="preserve">EBITDA margin</t>
  </si>
  <si>
    <t xml:space="preserve">Depreciation, amortisation, impairment</t>
  </si>
  <si>
    <t xml:space="preserve">Finance costs (excluding financial services)</t>
  </si>
  <si>
    <t xml:space="preserve">Profit before exceptional items and tax</t>
  </si>
  <si>
    <t xml:space="preserve">Exceptional items [gain/(loss)]</t>
  </si>
  <si>
    <t xml:space="preserve">Profit before tax</t>
  </si>
  <si>
    <t xml:space="preserve">Current tax</t>
  </si>
  <si>
    <t xml:space="preserve">Deferred tax</t>
  </si>
  <si>
    <t xml:space="preserve">Total tax expense</t>
  </si>
  <si>
    <t xml:space="preserve">Net profit after tax</t>
  </si>
  <si>
    <t xml:space="preserve">Share in profit/(loss) of JVs and associates</t>
  </si>
  <si>
    <t xml:space="preserve">Net profit including JV share</t>
  </si>
  <si>
    <t xml:space="preserve">Attributable to non-controlling interests</t>
  </si>
  <si>
    <t xml:space="preserve">Attributable to owners of the Company (PAT)</t>
  </si>
  <si>
    <t xml:space="preserve">Effective tax rate (on PBT before exceptional items)</t>
  </si>
  <si>
    <t xml:space="preserve">Basic EPS (INR) = PAT owners / shares</t>
  </si>
  <si>
    <t xml:space="preserve">Basic EPS as reported (INR)</t>
  </si>
  <si>
    <t xml:space="preserve">Reported profit before tax (audit check)</t>
  </si>
  <si>
    <t xml:space="preserve">Check: computed PBT less reported (should be 0)</t>
  </si>
  <si>
    <t xml:space="preserve">FIVE-YEAR TREND (INR Crore)</t>
  </si>
  <si>
    <t xml:space="preserve">FY22</t>
  </si>
  <si>
    <t xml:space="preserve">FY23</t>
  </si>
  <si>
    <t xml:space="preserve">FY24</t>
  </si>
  <si>
    <t xml:space="preserve">FY25</t>
  </si>
  <si>
    <t xml:space="preserve">FY26</t>
  </si>
  <si>
    <t xml:space="preserve">CAGR FY22-26</t>
  </si>
  <si>
    <t xml:space="preserve">PAT attributable to owners</t>
  </si>
  <si>
    <t xml:space="preserve">Depreciation and amortisation</t>
  </si>
  <si>
    <t xml:space="preserve">PAT margin</t>
  </si>
  <si>
    <t xml:space="preserve">FY22-FY24 headline figures from company filings as compiled by ValueResearch; FY25-FY26 from the audited statement above.</t>
  </si>
  <si>
    <t xml:space="preserve">CONSOLIDATED BALANCE SHEET (INR Crore)</t>
  </si>
  <si>
    <t xml:space="preserve">Source: audited consolidated Statement of Assets and Liabilities, 31 March 2026 and 31 March 2025.</t>
  </si>
  <si>
    <t xml:space="preserve">31-Mar-25</t>
  </si>
  <si>
    <t xml:space="preserve">31-Mar-26</t>
  </si>
  <si>
    <t xml:space="preserve">ASSETS</t>
  </si>
  <si>
    <t xml:space="preserve">Property, plant and equipment</t>
  </si>
  <si>
    <t xml:space="preserve">Capital work-in-progress</t>
  </si>
  <si>
    <t xml:space="preserve">Investment property</t>
  </si>
  <si>
    <t xml:space="preserve">Investment property under construction</t>
  </si>
  <si>
    <t xml:space="preserve">Goodwill</t>
  </si>
  <si>
    <t xml:space="preserve">Other intangible assets</t>
  </si>
  <si>
    <t xml:space="preserve">Intangible assets under development</t>
  </si>
  <si>
    <t xml:space="preserve">Right-of-use assets</t>
  </si>
  <si>
    <t xml:space="preserve">Investments in joint ventures and associates</t>
  </si>
  <si>
    <t xml:space="preserve">Other investments (non-current)</t>
  </si>
  <si>
    <t xml:space="preserve">Loans towards financing activities (non-current)</t>
  </si>
  <si>
    <t xml:space="preserve">Other loans</t>
  </si>
  <si>
    <t xml:space="preserve">Other financial assets</t>
  </si>
  <si>
    <t xml:space="preserve">Deferred tax assets (net)</t>
  </si>
  <si>
    <t xml:space="preserve">Current tax assets (net)</t>
  </si>
  <si>
    <t xml:space="preserve">Other non-current assets</t>
  </si>
  <si>
    <t xml:space="preserve">Total non-current assets</t>
  </si>
  <si>
    <t xml:space="preserve">Inventories</t>
  </si>
  <si>
    <t xml:space="preserve">Current investments</t>
  </si>
  <si>
    <t xml:space="preserve">Trade receivables</t>
  </si>
  <si>
    <t xml:space="preserve">Cash and cash equivalents</t>
  </si>
  <si>
    <t xml:space="preserve">Other bank balances</t>
  </si>
  <si>
    <t xml:space="preserve">Loans towards financing activities (current)</t>
  </si>
  <si>
    <t xml:space="preserve">Other current assets (incl. contract assets)</t>
  </si>
  <si>
    <t xml:space="preserve">Total current assets</t>
  </si>
  <si>
    <t xml:space="preserve">Assets classified as held for sale</t>
  </si>
  <si>
    <t xml:space="preserve">TOTAL ASSETS</t>
  </si>
  <si>
    <t xml:space="preserve">EQUITY AND LIABILITIES</t>
  </si>
  <si>
    <t xml:space="preserve">Equity share capital</t>
  </si>
  <si>
    <t xml:space="preserve">Other equity</t>
  </si>
  <si>
    <t xml:space="preserve">Equity attributable to owners</t>
  </si>
  <si>
    <t xml:space="preserve">Non-controlling interest</t>
  </si>
  <si>
    <t xml:space="preserve">TOTAL EQUITY</t>
  </si>
  <si>
    <t xml:space="preserve">Non-current borrowings</t>
  </si>
  <si>
    <t xml:space="preserve">Lease liabilities (non-current)</t>
  </si>
  <si>
    <t xml:space="preserve">Other financial liabilities (non-current)</t>
  </si>
  <si>
    <t xml:space="preserve">Provisions (non-current)</t>
  </si>
  <si>
    <t xml:space="preserve">Deferred tax liabilities (net)</t>
  </si>
  <si>
    <t xml:space="preserve">Other non-current liabilities</t>
  </si>
  <si>
    <t xml:space="preserve">Total non-current liabilities</t>
  </si>
  <si>
    <t xml:space="preserve">Current borrowings</t>
  </si>
  <si>
    <t xml:space="preserve">Current maturities of long-term borrowings</t>
  </si>
  <si>
    <t xml:space="preserve">Lease liabilities (current)</t>
  </si>
  <si>
    <t xml:space="preserve">Trade payables: micro and small enterprises</t>
  </si>
  <si>
    <t xml:space="preserve">Trade payables: others</t>
  </si>
  <si>
    <t xml:space="preserve">Other financial liabilities (current)</t>
  </si>
  <si>
    <t xml:space="preserve">Other current liabilities (incl. contract liabilities)</t>
  </si>
  <si>
    <t xml:space="preserve">Provisions (current)</t>
  </si>
  <si>
    <t xml:space="preserve">Current tax liabilities (net)</t>
  </si>
  <si>
    <t xml:space="preserve">Total current liabilities</t>
  </si>
  <si>
    <t xml:space="preserve">Liabilities associated with held-for-sale assets</t>
  </si>
  <si>
    <t xml:space="preserve">TOTAL LIABILITIES</t>
  </si>
  <si>
    <t xml:space="preserve">TOTAL EQUITY AND LIABILITIES</t>
  </si>
  <si>
    <t xml:space="preserve">Check: assets less equity and liabilities (should be 0)</t>
  </si>
  <si>
    <t xml:space="preserve">Reported total assets (audit check)</t>
  </si>
  <si>
    <t xml:space="preserve">Check: computed less reported total assets (should be 0)</t>
  </si>
  <si>
    <t xml:space="preserve">Total borrowings (non-current + current + current maturities)</t>
  </si>
  <si>
    <t xml:space="preserve">CONSOLIDATED CASH FLOW STATEMENT (INR Crore)</t>
  </si>
  <si>
    <t xml:space="preserve">Source: audited consolidated Statement of Cash Flows, years ended 31 March 2025 and 2026 (condensed).</t>
  </si>
  <si>
    <t xml:space="preserve">Operating profit before working capital changes</t>
  </si>
  <si>
    <t xml:space="preserve">(Increase) in trade and other receivables</t>
  </si>
  <si>
    <t xml:space="preserve">(Increase) in inventories</t>
  </si>
  <si>
    <t xml:space="preserve">Increase in trade and other payables</t>
  </si>
  <si>
    <t xml:space="preserve">(Increase) in loans towards financing activities (financial services)</t>
  </si>
  <si>
    <t xml:space="preserve">Direct taxes paid (net)</t>
  </si>
  <si>
    <t xml:space="preserve">Net cash from operating activities</t>
  </si>
  <si>
    <t xml:space="preserve">Purchase of PPE, investment property and intangibles (capex)</t>
  </si>
  <si>
    <t xml:space="preserve">Other investing flows (net)</t>
  </si>
  <si>
    <t xml:space="preserve">Net cash used in investing activities</t>
  </si>
  <si>
    <t xml:space="preserve">Dividends paid</t>
  </si>
  <si>
    <t xml:space="preserve">Other financing flows (net, incl. borrowings and interest)</t>
  </si>
  <si>
    <t xml:space="preserve">Net cash from/(used in) financing activities</t>
  </si>
  <si>
    <t xml:space="preserve">Net increase in cash and cash equivalents</t>
  </si>
  <si>
    <t xml:space="preserve">Opening cash and cash equivalents</t>
  </si>
  <si>
    <t xml:space="preserve">Effect of exchange rate changes</t>
  </si>
  <si>
    <t xml:space="preserve">Closing cash and cash equivalents</t>
  </si>
  <si>
    <t xml:space="preserve">Check: closing cash less balance sheet cash (should be 0)</t>
  </si>
  <si>
    <t xml:space="preserve">Free cash flow: CFO less capex</t>
  </si>
  <si>
    <t xml:space="preserve">Operating cash flow is after the lending of the financial services arm (loan book growth is funded by its own borrowings, shown in financing). Core valuation therefore strips financial services out; see Segments &amp; Core.</t>
  </si>
  <si>
    <t xml:space="preserve">SEGMENTS AND CORE (EX-FINANCIAL SERVICES) VIEW (INR Crore)</t>
  </si>
  <si>
    <t xml:space="preserve">Source: audited segment disclosure, FY26 filing. Financial services (L&amp;T Finance) is valued separately; the core business is valued by DCF.</t>
  </si>
  <si>
    <t xml:space="preserve">Gross segment revenue</t>
  </si>
  <si>
    <t xml:space="preserve">Infrastructure Projects</t>
  </si>
  <si>
    <t xml:space="preserve">Energy Projects</t>
  </si>
  <si>
    <t xml:space="preserve">Hi-Tech Manufacturing</t>
  </si>
  <si>
    <t xml:space="preserve">IT &amp; Technology Services</t>
  </si>
  <si>
    <t xml:space="preserve">Financial Services</t>
  </si>
  <si>
    <t xml:space="preserve">Development Projects</t>
  </si>
  <si>
    <t xml:space="preserve">Others</t>
  </si>
  <si>
    <t xml:space="preserve">Total</t>
  </si>
  <si>
    <t xml:space="preserve">Segment results (profit before interest and tax)</t>
  </si>
  <si>
    <t xml:space="preserve">Segment assets</t>
  </si>
  <si>
    <t xml:space="preserve">Segment liabilities</t>
  </si>
  <si>
    <t xml:space="preserve">Core (ex-financial services) derivation</t>
  </si>
  <si>
    <t xml:space="preserve">Core revenue = net group revenue less financial services revenue</t>
  </si>
  <si>
    <t xml:space="preserve">Core EBITDA = group EBITDA less financial services segment result (its interest is already deducted)</t>
  </si>
  <si>
    <t xml:space="preserve">Core EBIT = core EBITDA less group depreciation</t>
  </si>
  <si>
    <t xml:space="preserve">Financial services net assets (segment assets less liabilities)</t>
  </si>
  <si>
    <t xml:space="preserve">FIVE-YEAR TREND, DUPONT AND WORKING-CAPITAL DAYS (FY22-FY26)</t>
  </si>
  <si>
    <t xml:space="preserve">FY25 and FY26 link to the audited statements; FY22-FY24 equity, assets, borrowings and days are from Screener (consolidated, compiled from filings). Blue = input.</t>
  </si>
  <si>
    <t xml:space="preserve">INR Crore</t>
  </si>
  <si>
    <t xml:space="preserve">Profit after tax, including minorities</t>
  </si>
  <si>
    <t xml:space="preserve">Owners' equity (share capital + reserves)</t>
  </si>
  <si>
    <t xml:space="preserve">Total assets</t>
  </si>
  <si>
    <t xml:space="preserve">Borrowings including lease liabilities</t>
  </si>
  <si>
    <t xml:space="preserve">Cash from operating activities</t>
  </si>
  <si>
    <t xml:space="preserve">Debtor days (Screener basis)</t>
  </si>
  <si>
    <t xml:space="preserve">Inventory days (Screener basis)</t>
  </si>
  <si>
    <t xml:space="preserve">Payable days (Screener basis)</t>
  </si>
  <si>
    <t xml:space="preserve">Cash conversion cycle (days)</t>
  </si>
  <si>
    <t xml:space="preserve">ROCE (Screener)</t>
  </si>
  <si>
    <t xml:space="preserve">Derived</t>
  </si>
  <si>
    <t xml:space="preserve">Revenue growth</t>
  </si>
  <si>
    <t xml:space="preserve">PAT (owners) growth</t>
  </si>
  <si>
    <t xml:space="preserve">Net profit margin (owners PAT / revenue)</t>
  </si>
  <si>
    <t xml:space="preserve">Asset turnover (revenue / total assets)</t>
  </si>
  <si>
    <t xml:space="preserve">Equity multiplier (total assets / owners' equity)</t>
  </si>
  <si>
    <t xml:space="preserve">ROE = margin x turnover x multiplier</t>
  </si>
  <si>
    <t xml:space="preserve">Check: PAT / owners equity (should equal ROE)</t>
  </si>
  <si>
    <t xml:space="preserve">Borrowings / owners' equity</t>
  </si>
  <si>
    <t xml:space="preserve">Operating cash flow / PAT including minorities</t>
  </si>
  <si>
    <t xml:space="preserve">PBT margin (profit before tax / revenue)</t>
  </si>
  <si>
    <t xml:space="preserve">Minority share of profit ((PAT incl. minorities - owners PAT) / PAT incl. minorities)</t>
  </si>
  <si>
    <t xml:space="preserve">Total assets growth</t>
  </si>
  <si>
    <t xml:space="preserve">Sixteen ratios and growth metrics in all: rows 12-16 (days, CCC, ROCE) and rows 19-30 excluding the ROE check row.</t>
  </si>
  <si>
    <t xml:space="preserve">What the five years show</t>
  </si>
  <si>
    <t xml:space="preserve">Revenue grew at about 16% a year from FY22 to FY26 and owners profit at about 17%; ROE moved from 10.5% to 14.7%, driven mainly by asset turnover (0.49 to 0.63) with the net margin broadly flat at 5.5% to 5.9% and the equity multiplier slightly higher.</t>
  </si>
  <si>
    <t xml:space="preserve">Debtor days fell from 108 to 77 and have held there for two years, so customers are no longer the working-capital story.</t>
  </si>
  <si>
    <t xml:space="preserve">Payable days fell from 378 to 208 by FY25 and rebounded to 265 in FY26, so the FY26 cash conversion cycle improvement came from suppliers, consistent with the due diligence memo.</t>
  </si>
  <si>
    <t xml:space="preserve">Equity fell in FY24 as share capital dropped from INR 281 Cr to INR 275 Cr, consistent with a buyback; operating cash flow was lowest in FY25 (INR 9,151 Cr) before recovering in FY26.</t>
  </si>
  <si>
    <t xml:space="preserve">Screener days use a different base from the Ratio Analysis sheet (which uses revenue and operating costs), so levels differ but direction agrees.</t>
  </si>
  <si>
    <t xml:space="preserve">RATIO ANALYSIS, DUPONT AND ALTMAN Z-SCORE</t>
  </si>
  <si>
    <t xml:space="preserve">Computed from the audited balance sheets and income statements (FY25A, FY26A). Year-end balances used.</t>
  </si>
  <si>
    <t xml:space="preserve">Ratio</t>
  </si>
  <si>
    <t xml:space="preserve">How it reads</t>
  </si>
  <si>
    <t xml:space="preserve">LIQUIDITY</t>
  </si>
  <si>
    <t xml:space="preserve">Current ratio</t>
  </si>
  <si>
    <t xml:space="preserve">Above 1.2x: short-term obligations covered</t>
  </si>
  <si>
    <t xml:space="preserve">Quick ratio</t>
  </si>
  <si>
    <t xml:space="preserve">Cash and liquid investments / current liabilities</t>
  </si>
  <si>
    <t xml:space="preserve">Includes the financial services arm</t>
  </si>
  <si>
    <t xml:space="preserve">PROFITABILITY</t>
  </si>
  <si>
    <t xml:space="preserve">About 10%: EPC economics, not software margins</t>
  </si>
  <si>
    <t xml:space="preserve">PBT margin (before exceptional items)</t>
  </si>
  <si>
    <t xml:space="preserve">Net profit margin (owners)</t>
  </si>
  <si>
    <t xml:space="preserve">Return on equity (owners)</t>
  </si>
  <si>
    <t xml:space="preserve">Return on assets</t>
  </si>
  <si>
    <t xml:space="preserve">Low because the NBFC balance sheet inflates assets</t>
  </si>
  <si>
    <t xml:space="preserve">Return on capital employed (EBIT / (assets - current liabilities))</t>
  </si>
  <si>
    <t xml:space="preserve">EFFICIENCY</t>
  </si>
  <si>
    <t xml:space="preserve">Receivable days</t>
  </si>
  <si>
    <t xml:space="preserve">Inventory days (on revenue)</t>
  </si>
  <si>
    <t xml:space="preserve">Payable days (on manufacturing, construction and operating costs)</t>
  </si>
  <si>
    <t xml:space="preserve">Suppliers fund the project cycle</t>
  </si>
  <si>
    <t xml:space="preserve">SOLVENCY</t>
  </si>
  <si>
    <t xml:space="preserve">Debt / equity (borrowings / total equity)</t>
  </si>
  <si>
    <t xml:space="preserve">Company reports 0.95x for FY26 on the same basis</t>
  </si>
  <si>
    <t xml:space="preserve">Total liabilities / total assets</t>
  </si>
  <si>
    <t xml:space="preserve">Interest cover (EBIT / finance costs, ex-financial services)</t>
  </si>
  <si>
    <t xml:space="preserve">MARKET RATIOS (at pricing date)</t>
  </si>
  <si>
    <t xml:space="preserve">Basic EPS (INR)</t>
  </si>
  <si>
    <t xml:space="preserve">Book value per share (INR)</t>
  </si>
  <si>
    <t xml:space="preserve">P/E (trailing)</t>
  </si>
  <si>
    <t xml:space="preserve">P/B</t>
  </si>
  <si>
    <t xml:space="preserve">Final dividend per share (INR), FY26</t>
  </si>
  <si>
    <t xml:space="preserve">Dividend yield (final dividend / price)</t>
  </si>
  <si>
    <t xml:space="preserve">DUPONT: ROE = NET MARGIN x ASSET TURNOVER x EQUITY MULTIPLIER</t>
  </si>
  <si>
    <t xml:space="preserve">Equity multiplier (total assets / owners equity)</t>
  </si>
  <si>
    <t xml:space="preserve">ROE (product of the three)</t>
  </si>
  <si>
    <t xml:space="preserve">Ties to return on equity above</t>
  </si>
  <si>
    <t xml:space="preserve">ALTMAN Z"-SCORE (emerging-market, non-manufacturer version; book values)</t>
  </si>
  <si>
    <t xml:space="preserve">Z" = 6.56 X1 + 3.26 X2 + 6.72 X3 + 1.05 X4.  Safe above 2.6; grey zone 1.1 to 2.6; distress below 1.1.</t>
  </si>
  <si>
    <t xml:space="preserve">X1 = working capital / total assets</t>
  </si>
  <si>
    <t xml:space="preserve">X2 = retained earnings (other equity) / total assets</t>
  </si>
  <si>
    <t xml:space="preserve">X3 = EBIT / total assets</t>
  </si>
  <si>
    <t xml:space="preserve">X4 = book equity (owners) / total liabilities</t>
  </si>
  <si>
    <t xml:space="preserve">Altman Z" score</t>
  </si>
  <si>
    <t xml:space="preserve">Zone</t>
  </si>
  <si>
    <t xml:space="preserve">Grey, not distress: the NBFC arm adds liabilities and receivables that a pure industrial would not carry. Treat as indicative.</t>
  </si>
  <si>
    <t xml:space="preserve">BETA REGRESSION ANALYSIS (L&amp;T vs NIFTY 50)</t>
  </si>
  <si>
    <t xml:space="preserve">Weekly Return Data (Last 52 Weeks)</t>
  </si>
  <si>
    <t xml:space="preserve">Regression Output</t>
  </si>
  <si>
    <t xml:space="preserve">Rationale &amp; Methodology</t>
  </si>
  <si>
    <t xml:space="preserve">Date</t>
  </si>
  <si>
    <t xml:space="preserve">L&amp;T Close (INR)</t>
  </si>
  <si>
    <t xml:space="preserve">L&amp;T Weekly Return (%)</t>
  </si>
  <si>
    <t xml:space="preserve">Nifty Close (Points)</t>
  </si>
  <si>
    <t xml:space="preserve">Nifty Weekly Return (%)</t>
  </si>
  <si>
    <t xml:space="preserve">Metric</t>
  </si>
  <si>
    <t xml:space="preserve">Notes &amp; Explanations</t>
  </si>
  <si>
    <t xml:space="preserve">2025-04-04</t>
  </si>
  <si>
    <t xml:space="preserve">-</t>
  </si>
  <si>
    <t xml:space="preserve">Beta (SLOPE)</t>
  </si>
  <si>
    <t xml:space="preserve">Data Source: L&amp;T NSE equity weekly prices &amp; NIFTY 50 benchmark index from LT_Nifty_Merged_Historical_Data.xlsx</t>
  </si>
  <si>
    <t xml:space="preserve">2025-04-11</t>
  </si>
  <si>
    <t xml:space="preserve">Alpha (Intercept)</t>
  </si>
  <si>
    <t xml:space="preserve">Frequency: Weekly Friday closing prices to eliminate bid-ask noise and day-of-the-week effects.</t>
  </si>
  <si>
    <t xml:space="preserve">2025-04-18</t>
  </si>
  <si>
    <t xml:space="preserve">R-Squared (R²)</t>
  </si>
  <si>
    <t xml:space="preserve">Horizon: 52 weekly return pairs over the most recent 1-year trading window.</t>
  </si>
  <si>
    <t xml:space="preserve">2025-04-25</t>
  </si>
  <si>
    <t xml:space="preserve">Correlation (r)</t>
  </si>
  <si>
    <t xml:space="preserve">Return Formula: Rt = (Pt - Pt-1) / Pt-1 arithmetic simple returns.</t>
  </si>
  <si>
    <t xml:space="preserve">2025-05-02</t>
  </si>
  <si>
    <t xml:space="preserve">Observations (n)</t>
  </si>
  <si>
    <t xml:space="preserve">Blume Adjustment: Beta_adj = (1/3)*1.00 + (2/3)*Beta_raw.</t>
  </si>
  <si>
    <t xml:space="preserve">2025-05-09</t>
  </si>
  <si>
    <t xml:space="preserve">Avg L&amp;T Weekly Return</t>
  </si>
  <si>
    <t xml:space="preserve">Mean-reversion ensures forward-looking stability for CAPM WACC.</t>
  </si>
  <si>
    <t xml:space="preserve">2025-05-16</t>
  </si>
  <si>
    <t xml:space="preserve">Avg Nifty Weekly Return</t>
  </si>
  <si>
    <t xml:space="preserve">Target Company: Larsen &amp; Toubro Limited (NSE: LT).</t>
  </si>
  <si>
    <t xml:space="preserve">2025-05-23</t>
  </si>
  <si>
    <t xml:space="preserve">Std Dev - L&amp;T</t>
  </si>
  <si>
    <t xml:space="preserve">Benchmark Index: NIFTY 50 Index (^NSEI).</t>
  </si>
  <si>
    <t xml:space="preserve">2025-05-30</t>
  </si>
  <si>
    <t xml:space="preserve">Std Dev - Nifty</t>
  </si>
  <si>
    <t xml:space="preserve">Effective Beta feeds directly into Capital Structure &amp; WACC Tab.</t>
  </si>
  <si>
    <t xml:space="preserve">2025-06-06</t>
  </si>
  <si>
    <t xml:space="preserve">Raw Regression Beta</t>
  </si>
  <si>
    <t xml:space="preserve">2025-06-13</t>
  </si>
  <si>
    <t xml:space="preserve">Blume Adjusted Beta</t>
  </si>
  <si>
    <t xml:space="preserve">Formula: =1/3 + (2/3)*Raw_Beta</t>
  </si>
  <si>
    <t xml:space="preserve">2025-06-20</t>
  </si>
  <si>
    <t xml:space="preserve">Effective Beta Used</t>
  </si>
  <si>
    <t xml:space="preserve">Linked to Cost of Equity (CAPM)</t>
  </si>
  <si>
    <t xml:space="preserve">2025-06-27</t>
  </si>
  <si>
    <t xml:space="preserve">2025-07-04</t>
  </si>
  <si>
    <t xml:space="preserve">2025-07-11</t>
  </si>
  <si>
    <t xml:space="preserve">2025-07-18</t>
  </si>
  <si>
    <t xml:space="preserve">2025-07-25</t>
  </si>
  <si>
    <t xml:space="preserve">2025-08-01</t>
  </si>
  <si>
    <t xml:space="preserve">2025-08-08</t>
  </si>
  <si>
    <t xml:space="preserve">2025-08-15</t>
  </si>
  <si>
    <t xml:space="preserve">2025-08-22</t>
  </si>
  <si>
    <t xml:space="preserve">2025-08-29</t>
  </si>
  <si>
    <t xml:space="preserve">2025-09-05</t>
  </si>
  <si>
    <t xml:space="preserve">2025-09-12</t>
  </si>
  <si>
    <t xml:space="preserve">2025-09-19</t>
  </si>
  <si>
    <t xml:space="preserve">2025-09-26</t>
  </si>
  <si>
    <t xml:space="preserve">2025-10-03</t>
  </si>
  <si>
    <t xml:space="preserve">2025-10-10</t>
  </si>
  <si>
    <t xml:space="preserve">2025-10-17</t>
  </si>
  <si>
    <t xml:space="preserve">2025-10-24</t>
  </si>
  <si>
    <t xml:space="preserve">2025-10-31</t>
  </si>
  <si>
    <t xml:space="preserve">2025-11-07</t>
  </si>
  <si>
    <t xml:space="preserve">2025-11-14</t>
  </si>
  <si>
    <t xml:space="preserve">2025-11-21</t>
  </si>
  <si>
    <t xml:space="preserve">2025-11-28</t>
  </si>
  <si>
    <t xml:space="preserve">2025-12-05</t>
  </si>
  <si>
    <t xml:space="preserve">2025-12-12</t>
  </si>
  <si>
    <t xml:space="preserve">2025-12-19</t>
  </si>
  <si>
    <t xml:space="preserve">2025-12-26</t>
  </si>
  <si>
    <t xml:space="preserve">2026-01-02</t>
  </si>
  <si>
    <t xml:space="preserve">2026-01-09</t>
  </si>
  <si>
    <t xml:space="preserve">2026-01-16</t>
  </si>
  <si>
    <t xml:space="preserve">2026-01-23</t>
  </si>
  <si>
    <t xml:space="preserve">2026-01-30</t>
  </si>
  <si>
    <t xml:space="preserve">2026-02-06</t>
  </si>
  <si>
    <t xml:space="preserve">2026-02-13</t>
  </si>
  <si>
    <t xml:space="preserve">2026-02-20</t>
  </si>
  <si>
    <t xml:space="preserve">2026-02-27</t>
  </si>
  <si>
    <t xml:space="preserve">2026-03-06</t>
  </si>
  <si>
    <t xml:space="preserve">2026-03-13</t>
  </si>
  <si>
    <t xml:space="preserve">2026-03-20</t>
  </si>
  <si>
    <t xml:space="preserve">2026-03-27</t>
  </si>
  <si>
    <t xml:space="preserve">2026-04-03</t>
  </si>
  <si>
    <t xml:space="preserve">CAPITAL STRUCTURE AND WACC</t>
  </si>
  <si>
    <t xml:space="preserve">Cost of capital for the core (ex-financial services) business.</t>
  </si>
  <si>
    <t xml:space="preserve">Source / formula</t>
  </si>
  <si>
    <t xml:space="preserve">Assumptions</t>
  </si>
  <si>
    <t xml:space="preserve">Raw beta (regression slope)</t>
  </si>
  <si>
    <t xml:space="preserve">52 weekly returns, L&amp;T vs Nifty 50</t>
  </si>
  <si>
    <t xml:space="preserve">Blume-adjusted beta</t>
  </si>
  <si>
    <t xml:space="preserve">Beta adj = 1/3 x 1.00 + 2/3 x raw</t>
  </si>
  <si>
    <t xml:space="preserve">Cost of equity (CAPM)</t>
  </si>
  <si>
    <t xml:space="preserve">Ke = Rf + beta x ERP</t>
  </si>
  <si>
    <t xml:space="preserve">After-tax cost of debt</t>
  </si>
  <si>
    <t xml:space="preserve">Kd x (1 - t)</t>
  </si>
  <si>
    <t xml:space="preserve">Equity at market value (INR Cr)</t>
  </si>
  <si>
    <t xml:space="preserve">Core corporate debt (INR Cr)</t>
  </si>
  <si>
    <t xml:space="preserve">Financial-services debt excluded (self-funded)</t>
  </si>
  <si>
    <t xml:space="preserve">Weight of equity</t>
  </si>
  <si>
    <t xml:space="preserve">Market-value weights</t>
  </si>
  <si>
    <t xml:space="preserve">Weight of debt</t>
  </si>
  <si>
    <t xml:space="preserve">WACC</t>
  </si>
  <si>
    <t xml:space="preserve">WACC = We x Ke + Wd x Kd x (1 - t)</t>
  </si>
  <si>
    <t xml:space="preserve">CORE FORECAST AND FREE CASH FLOW TO FIRM (INR Crore)</t>
  </si>
  <si>
    <t xml:space="preserve">Ten-year forecast of the core (ex-financial services) business in three scenarios. Financial services is valued separately on the DCF sheet.</t>
  </si>
  <si>
    <t xml:space="preserve">Bear scenario</t>
  </si>
  <si>
    <t xml:space="preserve">Core revenue</t>
  </si>
  <si>
    <t xml:space="preserve">Core EBITDA</t>
  </si>
  <si>
    <t xml:space="preserve">Less: depreciation</t>
  </si>
  <si>
    <t xml:space="preserve">EBIT</t>
  </si>
  <si>
    <t xml:space="preserve">Less: tax on EBIT</t>
  </si>
  <si>
    <t xml:space="preserve">NOPAT</t>
  </si>
  <si>
    <t xml:space="preserve">Less: capex</t>
  </si>
  <si>
    <t xml:space="preserve">Net working capital % of revenue</t>
  </si>
  <si>
    <t xml:space="preserve">Net working capital</t>
  </si>
  <si>
    <t xml:space="preserve">Less: increase in net working capital</t>
  </si>
  <si>
    <t xml:space="preserve">Free cash flow to firm (FCFF)</t>
  </si>
  <si>
    <t xml:space="preserve">Discount period (years)</t>
  </si>
  <si>
    <t xml:space="preserve">Discount factor</t>
  </si>
  <si>
    <t xml:space="preserve">Present value of FCFF</t>
  </si>
  <si>
    <t xml:space="preserve">Scenario WACC</t>
  </si>
  <si>
    <t xml:space="preserve">Sum of PV of explicit FCFF</t>
  </si>
  <si>
    <t xml:space="preserve">Terminal value (Gordon growth)</t>
  </si>
  <si>
    <t xml:space="preserve">PV of terminal value</t>
  </si>
  <si>
    <t xml:space="preserve">Core enterprise value</t>
  </si>
  <si>
    <t xml:space="preserve">Base scenario</t>
  </si>
  <si>
    <t xml:space="preserve">Bull scenario</t>
  </si>
  <si>
    <t xml:space="preserve">DCF VALUATION: SUM OF THE PARTS (INR Crore)</t>
  </si>
  <si>
    <t xml:space="preserve">Core business by FCFF DCF; financial services at price-to-book; net cash, JVs added; minorities deducted at a P/E multiple on their profit.</t>
  </si>
  <si>
    <t xml:space="preserve">Component</t>
  </si>
  <si>
    <t xml:space="preserve">Core enterprise value (FCFF DCF)</t>
  </si>
  <si>
    <t xml:space="preserve">Financial services value (net assets x P/B)</t>
  </si>
  <si>
    <t xml:space="preserve">Core net cash (investments less corporate debt)</t>
  </si>
  <si>
    <t xml:space="preserve">Investments in JVs and associates</t>
  </si>
  <si>
    <t xml:space="preserve">Less: minority interest (minority profit x multiple)</t>
  </si>
  <si>
    <t xml:space="preserve">Equity value attributable to owners</t>
  </si>
  <si>
    <t xml:space="preserve">Intrinsic value per share (INR)</t>
  </si>
  <si>
    <t xml:space="preserve">Market price (INR)</t>
  </si>
  <si>
    <t xml:space="preserve">Implied upside / (downside)</t>
  </si>
  <si>
    <t xml:space="preserve">Terminal value as % of core EV</t>
  </si>
  <si>
    <t xml:space="preserve">Implied core EV / FY26 core EBITDA</t>
  </si>
  <si>
    <t xml:space="preserve">Memo: non-DCF items added to core value (FS + net cash + JV - minorities)</t>
  </si>
  <si>
    <t xml:space="preserve">Sensitivity: base-case value per share (INR) by WACC and terminal growth. Green = at or above the market price.</t>
  </si>
  <si>
    <t xml:space="preserve">WACC \ terminal growth</t>
  </si>
  <si>
    <t xml:space="preserve">Reading the grid: the market price is matched at a cost of capital of roughly 9% to 10% with terminal growth of 5.5% to 6%, well below the 13.4% that textbook CAPM gives for this beta. That gap is the question to discuss: what is the market paying for?</t>
  </si>
  <si>
    <t xml:space="preserve">COMPARABLE COMPANY VALUATION (FY26)</t>
  </si>
  <si>
    <t xml:space="preserve">Listed EPC peers. Peer figures and prices are as supplied in the group dataset: refresh prices to the same date as L&amp;T before presenting.</t>
  </si>
  <si>
    <t xml:space="preserve">Price (INR)</t>
  </si>
  <si>
    <t xml:space="preserve">Shares (Cr)</t>
  </si>
  <si>
    <t xml:space="preserve">Market cap (Cr)</t>
  </si>
  <si>
    <t xml:space="preserve">Gross debt (Cr)</t>
  </si>
  <si>
    <t xml:space="preserve">Cash (Cr)</t>
  </si>
  <si>
    <t xml:space="preserve">Net debt (Cr)</t>
  </si>
  <si>
    <t xml:space="preserve">EV (Cr)</t>
  </si>
  <si>
    <t xml:space="preserve">Revenue (Cr)</t>
  </si>
  <si>
    <t xml:space="preserve">EBITDA (Cr)</t>
  </si>
  <si>
    <t xml:space="preserve">EBIT (Cr)</t>
  </si>
  <si>
    <t xml:space="preserve">PAT (Cr)</t>
  </si>
  <si>
    <t xml:space="preserve">EV/Revenue</t>
  </si>
  <si>
    <t xml:space="preserve">EV/EBITDA</t>
  </si>
  <si>
    <t xml:space="preserve">EV/EBIT</t>
  </si>
  <si>
    <t xml:space="preserve">P/E</t>
  </si>
  <si>
    <t xml:space="preserve">Include (1/0)</t>
  </si>
  <si>
    <t xml:space="preserve">EV/Rev (incl.)</t>
  </si>
  <si>
    <t xml:space="preserve">EV/EBITDA (incl.)</t>
  </si>
  <si>
    <t xml:space="preserve">EV/EBIT (incl.)</t>
  </si>
  <si>
    <t xml:space="preserve">P/E (incl.)</t>
  </si>
  <si>
    <t xml:space="preserve">Kalpataru Projects (KPIL)</t>
  </si>
  <si>
    <t xml:space="preserve">KEC International</t>
  </si>
  <si>
    <t xml:space="preserve">NCC Limited</t>
  </si>
  <si>
    <t xml:space="preserve">Rail Vikas Nigam (RVNL)</t>
  </si>
  <si>
    <t xml:space="preserve">L&amp;T (subject, consolidated)</t>
  </si>
  <si>
    <t xml:space="preserve">RVNL is excluded: a state-owned rail contractor trading at about 61x EBITDA, which would distort every multiple.</t>
  </si>
  <si>
    <t xml:space="preserve">Median (included peers)</t>
  </si>
  <si>
    <t xml:space="preserve">Minimum</t>
  </si>
  <si>
    <t xml:space="preserve">Maximum</t>
  </si>
  <si>
    <t xml:space="preserve">Mean</t>
  </si>
  <si>
    <t xml:space="preserve">IMPLIED VALUE OF L&amp;T</t>
  </si>
  <si>
    <t xml:space="preserve">Method</t>
  </si>
  <si>
    <t xml:space="preserve">L&amp;T metric (INR Cr)</t>
  </si>
  <si>
    <t xml:space="preserve">Multiple: min</t>
  </si>
  <si>
    <t xml:space="preserve">Multiple: median</t>
  </si>
  <si>
    <t xml:space="preserve">Multiple: max</t>
  </si>
  <si>
    <t xml:space="preserve">Value/share: min</t>
  </si>
  <si>
    <t xml:space="preserve">Value/share: median</t>
  </si>
  <si>
    <t xml:space="preserve">Value/share: max</t>
  </si>
  <si>
    <t xml:space="preserve">EV/EBITDA on core EBITDA</t>
  </si>
  <si>
    <t xml:space="preserve">EV/EBIT on core EBIT</t>
  </si>
  <si>
    <t xml:space="preserve">EV/Revenue on core revenue</t>
  </si>
  <si>
    <t xml:space="preserve">P/E on consolidated EPS</t>
  </si>
  <si>
    <t xml:space="preserve">EV methods apply the peer multiple to the core business, then add the same non-core items as the DCF (financial services, net cash, JVs, less minorities). P/E applies to consolidated EPS directly.</t>
  </si>
  <si>
    <t xml:space="preserve">FOOTBALL FIELD: VALUE PER SHARE (INR)</t>
  </si>
  <si>
    <t xml:space="preserve">Every row is linked to the DCF and comparables sheets. Market price shown for reference.</t>
  </si>
  <si>
    <t xml:space="preserve">Base (hidden)</t>
  </si>
  <si>
    <t xml:space="preserve">Range</t>
  </si>
  <si>
    <t xml:space="preserve">Basis</t>
  </si>
  <si>
    <t xml:space="preserve">Check: low &lt;= mid &lt;= high</t>
  </si>
  <si>
    <t xml:space="preserve">Exchange low, current price, exchange high</t>
  </si>
  <si>
    <t xml:space="preserve">DCF: bear to bull</t>
  </si>
  <si>
    <t xml:space="preserve">Three scenarios; mid is the base case</t>
  </si>
  <si>
    <t xml:space="preserve">DCF base: WACC 12% to 15%</t>
  </si>
  <si>
    <t xml:space="preserve">Grid at 5.0% terminal growth</t>
  </si>
  <si>
    <t xml:space="preserve">Comps: EV/EBITDA (core)</t>
  </si>
  <si>
    <t xml:space="preserve">Peer min, median, max; RVNL excluded</t>
  </si>
  <si>
    <t xml:space="preserve">Comps: EV/Revenue (core)</t>
  </si>
  <si>
    <t xml:space="preserve">Comps: P/E (consolidated)</t>
  </si>
  <si>
    <t xml:space="preserve">SOURCES, METHOD AND CAVEATS</t>
  </si>
  <si>
    <t xml:space="preserve">Sources</t>
  </si>
  <si>
    <t xml:space="preserve">Audited consolidated results, year ended 31 March 2026 (income statement, balance sheet, cash flow, segments)</t>
  </si>
  <si>
    <t xml:space="preserve">Larsen &amp; Toubro investor relations, filed 5 May 2026</t>
  </si>
  <si>
    <t xml:space="preserve">FY22 to FY24 headline figures (revenue, PBT, PAT, depreciation)</t>
  </si>
  <si>
    <t xml:space="preserve">Company filings as compiled by ValueResearch</t>
  </si>
  <si>
    <t xml:space="preserve">Share price and 52-week range</t>
  </si>
  <si>
    <t xml:space="preserve">Screener, NSE close on 29 October 2026; 52-week range INR 3,288 to 4,440</t>
  </si>
  <si>
    <t xml:space="preserve">Beta: 52 weekly returns, L&amp;T vs Nifty 50, April 2025 to April 2026</t>
  </si>
  <si>
    <t xml:space="preserve">Group dataset (LT_Nifty_Merged_Historical_Data)</t>
  </si>
  <si>
    <t xml:space="preserve">FY22 to FY24 equity, assets, borrowings and working-capital days; five-year cash flow</t>
  </si>
  <si>
    <t xml:space="preserve">Screener (consolidated, compiled from company filings); FY25 and FY26 use the audited statements above</t>
  </si>
  <si>
    <t xml:space="preserve">Peer financials and prices</t>
  </si>
  <si>
    <t xml:space="preserve">Group dataset; refresh to the L&amp;T pricing date before presenting</t>
  </si>
  <si>
    <t xml:space="preserve">Segment note: unallocable corporate assets and liabilities</t>
  </si>
  <si>
    <t xml:space="preserve">Audited segment disclosure, 31 March 2026</t>
  </si>
  <si>
    <t xml:space="preserve">Core vs financial services</t>
  </si>
  <si>
    <t xml:space="preserve">L&amp;T Finance is a lender: its interest cost is operating cost and its borrowings fund loans. Valuing it inside an FCFF would distort enterprise value, so the core business is valued by DCF and financial services at price-to-book.</t>
  </si>
  <si>
    <t xml:space="preserve">EBITDA</t>
  </si>
  <si>
    <t xml:space="preserve">Company definition: revenue from operations less all operating costs, including the financial services interest cost; other income excluded. FY26: INR 29,151 Cr (10.2%).</t>
  </si>
  <si>
    <t xml:space="preserve">Group EBITDA less the financial services segment result (INR 4,032 Cr), a proxy that ignores that segment small depreciation.</t>
  </si>
  <si>
    <t xml:space="preserve">Net cash</t>
  </si>
  <si>
    <t xml:space="preserve">Unallocable investments less unallocable borrowings from the segment note, an approximation of core net cash.</t>
  </si>
  <si>
    <t xml:space="preserve">Minorities</t>
  </si>
  <si>
    <t xml:space="preserve">Deducted at a multiple of minority profit, not book value, because minority stakes in listed subsidiaries trade far above book.</t>
  </si>
  <si>
    <t xml:space="preserve">CAPM with a Blume-adjusted beta; market-value weights; core debt only.</t>
  </si>
  <si>
    <t xml:space="preserve">Caveats</t>
  </si>
  <si>
    <t xml:space="preserve">Analyst assumptions</t>
  </si>
  <si>
    <t xml:space="preserve">Price-to-book on financial services (1.8x) and the multiple on minority profit (20x) are judgments, not data. Both move the answer; sensitise them.</t>
  </si>
  <si>
    <t xml:space="preserve">Latest results</t>
  </si>
  <si>
    <t xml:space="preserve">The model is built on audited FY26. Q2 FY27 results (27 October 2026: revenue INR 78,750 Cr, PAT INR 5,202 Cr, order inflow INR 1,47,665 Cr) are not reflected in the forecast.</t>
  </si>
  <si>
    <t xml:space="preserve">Timing</t>
  </si>
  <si>
    <t xml:space="preserve">End-of-year discounting from the FY26 balance sheet; the market price is as at October 2026, so roughly seven months of FY27 value creation is not captured.</t>
  </si>
  <si>
    <t xml:space="preserve">Altman Z"</t>
  </si>
  <si>
    <t xml:space="preserve">Built for industrial firms; the NBFC arm pushes this consolidated score into the grey zone. Indicative only.</t>
  </si>
  <si>
    <t xml:space="preserve">Educational use</t>
  </si>
  <si>
    <t xml:space="preserve">Course project model. Not investment advice.</t>
  </si>
</sst>
</file>

<file path=xl/styles.xml><?xml version="1.0" encoding="utf-8"?>
<styleSheet xmlns="http://schemas.openxmlformats.org/spreadsheetml/2006/main">
  <numFmts count="15">
    <numFmt numFmtId="164" formatCode="General"/>
    <numFmt numFmtId="165" formatCode="#,##0.00"/>
    <numFmt numFmtId="166" formatCode="#,##0;\(#,##0\);\-"/>
    <numFmt numFmtId="167" formatCode="0.0%"/>
    <numFmt numFmtId="168" formatCode="#,##0"/>
    <numFmt numFmtId="169" formatCode="General"/>
    <numFmt numFmtId="170" formatCode="0"/>
    <numFmt numFmtId="171" formatCode="#,##0.00;\(#,##0.00\);\-"/>
    <numFmt numFmtId="172" formatCode="#,##0.000"/>
    <numFmt numFmtId="173" formatCode="0.00%"/>
    <numFmt numFmtId="174" formatCode="0.00\x"/>
    <numFmt numFmtId="175" formatCode="0.00"/>
    <numFmt numFmtId="176" formatCode="0%"/>
    <numFmt numFmtId="177" formatCode="0.000"/>
    <numFmt numFmtId="178" formatCode="0.0"/>
  </numFmts>
  <fonts count="13">
    <font>
      <sz val="11"/>
      <color theme="1"/>
      <name val="Calibri"/>
      <family val="2"/>
      <charset val="1"/>
    </font>
    <font>
      <sz val="10"/>
      <name val="Arial"/>
      <family val="0"/>
    </font>
    <font>
      <sz val="10"/>
      <name val="Arial"/>
      <family val="0"/>
    </font>
    <font>
      <sz val="10"/>
      <name val="Arial"/>
      <family val="0"/>
    </font>
    <font>
      <b val="true"/>
      <sz val="14"/>
      <color rgb="FF13213A"/>
      <name val="Arial"/>
      <family val="0"/>
      <charset val="1"/>
    </font>
    <font>
      <i val="true"/>
      <sz val="9"/>
      <color rgb="FF6F6A5F"/>
      <name val="Arial"/>
      <family val="0"/>
      <charset val="1"/>
    </font>
    <font>
      <b val="true"/>
      <sz val="10"/>
      <color rgb="FFFFFFFF"/>
      <name val="Arial"/>
      <family val="0"/>
      <charset val="1"/>
    </font>
    <font>
      <sz val="10"/>
      <name val="Arial"/>
      <family val="0"/>
      <charset val="1"/>
    </font>
    <font>
      <sz val="10"/>
      <color rgb="FF0000FF"/>
      <name val="Arial"/>
      <family val="0"/>
      <charset val="1"/>
    </font>
    <font>
      <b val="true"/>
      <sz val="10"/>
      <color rgb="FF9C7430"/>
      <name val="Arial"/>
      <family val="0"/>
      <charset val="1"/>
    </font>
    <font>
      <b val="true"/>
      <sz val="10"/>
      <name val="Arial"/>
      <family val="0"/>
      <charset val="1"/>
    </font>
    <font>
      <b val="true"/>
      <sz val="18"/>
      <color rgb="FF000000"/>
      <name val="Calibri"/>
      <family val="2"/>
    </font>
    <font>
      <sz val="10"/>
      <color rgb="FF000000"/>
      <name val="Calibri"/>
      <family val="2"/>
    </font>
  </fonts>
  <fills count="3">
    <fill>
      <patternFill patternType="none"/>
    </fill>
    <fill>
      <patternFill patternType="gray125"/>
    </fill>
    <fill>
      <patternFill patternType="solid">
        <fgColor rgb="FF13213A"/>
        <bgColor rgb="FF003366"/>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left"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7" fillId="0" borderId="0" xfId="0" applyFont="true" applyBorder="false" applyAlignment="false" applyProtection="false">
      <alignment horizontal="general" vertical="bottom" textRotation="0" wrapText="false" indent="0" shrinkToFit="false"/>
      <protection locked="true" hidden="false"/>
    </xf>
    <xf numFmtId="166" fontId="7"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68" fontId="7" fillId="0" borderId="0" xfId="0" applyFont="true" applyBorder="false" applyAlignment="false" applyProtection="false">
      <alignment horizontal="general" vertical="bottom" textRotation="0" wrapText="false" indent="0" shrinkToFit="false"/>
      <protection locked="true" hidden="false"/>
    </xf>
    <xf numFmtId="169" fontId="7"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72" fontId="7"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71" fontId="7" fillId="0"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71" fontId="10" fillId="0" borderId="0" xfId="0" applyFont="true" applyBorder="false" applyAlignment="false" applyProtection="false">
      <alignment horizontal="general" vertical="bottom" textRotation="0" wrapText="false" indent="0" shrinkToFit="false"/>
      <protection locked="true" hidden="false"/>
    </xf>
    <xf numFmtId="175" fontId="7" fillId="0" borderId="0" xfId="0" applyFont="true" applyBorder="false" applyAlignment="false" applyProtection="false">
      <alignment horizontal="general" vertical="bottom" textRotation="0" wrapText="false" indent="0" shrinkToFit="false"/>
      <protection locked="true" hidden="false"/>
    </xf>
    <xf numFmtId="175" fontId="8" fillId="0" borderId="0" xfId="0" applyFont="true" applyBorder="false" applyAlignment="false" applyProtection="false">
      <alignment horizontal="general" vertical="bottom" textRotation="0" wrapText="fals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76" fontId="8" fillId="0" borderId="0" xfId="0" applyFont="true" applyBorder="false" applyAlignment="false" applyProtection="false">
      <alignment horizontal="general" vertical="bottom" textRotation="0" wrapText="false" indent="0" shrinkToFit="false"/>
      <protection locked="true" hidden="false"/>
    </xf>
    <xf numFmtId="173" fontId="7" fillId="0" borderId="0" xfId="0" applyFont="true" applyBorder="false" applyAlignment="false" applyProtection="false">
      <alignment horizontal="general" vertical="bottom" textRotation="0" wrapText="false" indent="0" shrinkToFit="false"/>
      <protection locked="true" hidden="false"/>
    </xf>
    <xf numFmtId="177" fontId="7" fillId="0" borderId="0" xfId="0" applyFont="true" applyBorder="false" applyAlignment="false" applyProtection="false">
      <alignment horizontal="general" vertical="bottom" textRotation="0" wrapText="false" indent="0" shrinkToFit="false"/>
      <protection locked="true" hidden="false"/>
    </xf>
    <xf numFmtId="173" fontId="10" fillId="0" borderId="0" xfId="0" applyFont="true" applyBorder="false" applyAlignment="false" applyProtection="false">
      <alignment horizontal="general" vertical="bottom" textRotation="0" wrapText="false" indent="0" shrinkToFit="false"/>
      <protection locked="true" hidden="false"/>
    </xf>
    <xf numFmtId="174" fontId="7"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78" fontId="7" fillId="0" borderId="0" xfId="0" applyFont="true" applyBorder="false" applyAlignment="false" applyProtection="false">
      <alignment horizontal="general" vertical="bottom" textRotation="0" wrapText="false" indent="0" shrinkToFit="false"/>
      <protection locked="true" hidden="false"/>
    </xf>
    <xf numFmtId="175" fontId="10"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70" fontId="7"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7" fontId="6" fillId="2" borderId="0" xfId="0" applyFont="true" applyBorder="false" applyAlignment="true" applyProtection="false">
      <alignment horizontal="center" vertical="center" textRotation="0" wrapText="true" indent="0" shrinkToFit="false"/>
      <protection locked="true" hidden="false"/>
    </xf>
    <xf numFmtId="174" fontId="5" fillId="0" borderId="0" xfId="0" applyFont="true" applyBorder="false" applyAlignment="false" applyProtection="false">
      <alignment horizontal="general" vertical="bottom" textRotation="0" wrapText="false" indent="0" shrinkToFit="false"/>
      <protection locked="true" hidden="false"/>
    </xf>
    <xf numFmtId="168" fontId="5" fillId="0" borderId="0" xfId="0" applyFont="true" applyBorder="false" applyAlignment="fals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C9E7D2"/>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9C7430"/>
      <rgbColor rgb="FF800080"/>
      <rgbColor rgb="FF008080"/>
      <rgbColor rgb="FFC0C0C0"/>
      <rgbColor rgb="FF878787"/>
      <rgbColor rgb="FF9999FF"/>
      <rgbColor rgb="FF993366"/>
      <rgbColor rgb="FFF9F9F9"/>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9E7D2"/>
      <rgbColor rgb="FFFFFF99"/>
      <rgbColor rgb="FF99CCFF"/>
      <rgbColor rgb="FFFF99CC"/>
      <rgbColor rgb="FFCC99FF"/>
      <rgbColor rgb="FFFFCC99"/>
      <rgbColor rgb="FF3366FF"/>
      <rgbColor rgb="FF33CCCC"/>
      <rgbColor rgb="FF99CC00"/>
      <rgbColor rgb="FFFFCC00"/>
      <rgbColor rgb="FFFF9900"/>
      <rgbColor rgb="FFFF6600"/>
      <rgbColor rgb="FF6F6A5F"/>
      <rgbColor rgb="FF969696"/>
      <rgbColor rgb="FF003366"/>
      <rgbColor rgb="FF339966"/>
      <rgbColor rgb="FF003300"/>
      <rgbColor rgb="FF333300"/>
      <rgbColor rgb="FF993300"/>
      <rgbColor rgb="FF993366"/>
      <rgbColor rgb="FF333399"/>
      <rgbColor rgb="FF1321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Revenue (INR Cr)</a:t>
            </a:r>
          </a:p>
        </c:rich>
      </c:tx>
      <c:overlay val="0"/>
      <c:spPr>
        <a:noFill/>
        <a:ln w="0">
          <a:noFill/>
        </a:ln>
      </c:spPr>
    </c:title>
    <c:autoTitleDeleted val="0"/>
    <c:plotArea>
      <c:barChart>
        <c:barDir val="col"/>
        <c:grouping val="clustered"/>
        <c:varyColors val="0"/>
        <c:ser>
          <c:idx val="0"/>
          <c:order val="0"/>
          <c:tx>
            <c:strRef>
              <c:f>'Income Statement'!A41</c:f>
              <c:strCache>
                <c:ptCount val="1"/>
                <c:pt idx="0">
                  <c:v>Revenue from operations</c:v>
                </c:pt>
              </c:strCache>
            </c:strRef>
          </c:tx>
          <c:spPr>
            <a:solidFill>
              <a:srgbClr val="13213a"/>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'Income Statement'!$B$40:$F$40</c:f>
              <c:strCache>
                <c:ptCount val="5"/>
                <c:pt idx="0">
                  <c:v>FY22</c:v>
                </c:pt>
                <c:pt idx="1">
                  <c:v>FY23</c:v>
                </c:pt>
                <c:pt idx="2">
                  <c:v>FY24</c:v>
                </c:pt>
                <c:pt idx="3">
                  <c:v>FY25</c:v>
                </c:pt>
                <c:pt idx="4">
                  <c:v>FY26</c:v>
                </c:pt>
              </c:strCache>
            </c:strRef>
          </c:cat>
          <c:val>
            <c:numRef>
              <c:f>'Income Statement'!$B$41:$F$41</c:f>
              <c:numCache>
                <c:formatCode>#,##0.00;\(#,##0.00\);\-</c:formatCode>
                <c:ptCount val="5"/>
                <c:pt idx="0">
                  <c:v>156521.23</c:v>
                </c:pt>
                <c:pt idx="1">
                  <c:v>183340.7</c:v>
                </c:pt>
                <c:pt idx="2">
                  <c:v>221112.89</c:v>
                </c:pt>
                <c:pt idx="3">
                  <c:v>255734.45</c:v>
                </c:pt>
                <c:pt idx="4">
                  <c:v>285874.36</c:v>
                </c:pt>
              </c:numCache>
            </c:numRef>
          </c:val>
        </c:ser>
        <c:gapWidth val="150"/>
        <c:overlap val="0"/>
        <c:axId val="11363729"/>
        <c:axId val="30602611"/>
      </c:barChart>
      <c:catAx>
        <c:axId val="1136372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0602611"/>
        <c:crosses val="autoZero"/>
        <c:auto val="1"/>
        <c:lblAlgn val="ctr"/>
        <c:lblOffset val="100"/>
        <c:noMultiLvlLbl val="0"/>
      </c:catAx>
      <c:valAx>
        <c:axId val="30602611"/>
        <c:scaling>
          <c:orientation val="minMax"/>
        </c:scaling>
        <c:delete val="0"/>
        <c:axPos val="l"/>
        <c:majorGridlines>
          <c:spPr>
            <a:ln w="9360">
              <a:solidFill>
                <a:srgbClr val="878787"/>
              </a:solidFill>
              <a:round/>
            </a:ln>
          </c:spPr>
        </c:majorGridlines>
        <c:numFmt formatCode="#,##0.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1363729"/>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PAT attributable to owners (INR Cr)</a:t>
            </a:r>
          </a:p>
        </c:rich>
      </c:tx>
      <c:overlay val="0"/>
      <c:spPr>
        <a:noFill/>
        <a:ln w="0">
          <a:noFill/>
        </a:ln>
      </c:spPr>
    </c:title>
    <c:autoTitleDeleted val="0"/>
    <c:plotArea>
      <c:barChart>
        <c:barDir val="col"/>
        <c:grouping val="clustered"/>
        <c:varyColors val="0"/>
        <c:ser>
          <c:idx val="0"/>
          <c:order val="0"/>
          <c:tx>
            <c:strRef>
              <c:f>'Income Statement'!A43</c:f>
              <c:strCache>
                <c:ptCount val="1"/>
                <c:pt idx="0">
                  <c:v>PAT attributable to owners</c:v>
                </c:pt>
              </c:strCache>
            </c:strRef>
          </c:tx>
          <c:spPr>
            <a:solidFill>
              <a:srgbClr val="13213a"/>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'Income Statement'!$B$40:$F$40</c:f>
              <c:strCache>
                <c:ptCount val="5"/>
                <c:pt idx="0">
                  <c:v>FY22</c:v>
                </c:pt>
                <c:pt idx="1">
                  <c:v>FY23</c:v>
                </c:pt>
                <c:pt idx="2">
                  <c:v>FY24</c:v>
                </c:pt>
                <c:pt idx="3">
                  <c:v>FY25</c:v>
                </c:pt>
                <c:pt idx="4">
                  <c:v>FY26</c:v>
                </c:pt>
              </c:strCache>
            </c:strRef>
          </c:cat>
          <c:val>
            <c:numRef>
              <c:f>'Income Statement'!$B$43:$F$43</c:f>
              <c:numCache>
                <c:formatCode>#,##0.00;\(#,##0.00\);\-</c:formatCode>
                <c:ptCount val="5"/>
                <c:pt idx="0">
                  <c:v>8669.33</c:v>
                </c:pt>
                <c:pt idx="1">
                  <c:v>10470.72</c:v>
                </c:pt>
                <c:pt idx="2">
                  <c:v>13059.11</c:v>
                </c:pt>
                <c:pt idx="3">
                  <c:v>15037.11</c:v>
                </c:pt>
                <c:pt idx="4">
                  <c:v>16083.99</c:v>
                </c:pt>
              </c:numCache>
            </c:numRef>
          </c:val>
        </c:ser>
        <c:gapWidth val="150"/>
        <c:overlap val="0"/>
        <c:axId val="32818753"/>
        <c:axId val="84438476"/>
      </c:barChart>
      <c:catAx>
        <c:axId val="3281875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4438476"/>
        <c:crosses val="autoZero"/>
        <c:auto val="1"/>
        <c:lblAlgn val="ctr"/>
        <c:lblOffset val="100"/>
        <c:noMultiLvlLbl val="0"/>
      </c:catAx>
      <c:valAx>
        <c:axId val="84438476"/>
        <c:scaling>
          <c:orientation val="minMax"/>
        </c:scaling>
        <c:delete val="0"/>
        <c:axPos val="l"/>
        <c:majorGridlines>
          <c:spPr>
            <a:ln w="9360">
              <a:solidFill>
                <a:srgbClr val="878787"/>
              </a:solidFill>
              <a:round/>
            </a:ln>
          </c:spPr>
        </c:majorGridlines>
        <c:numFmt formatCode="#,##0.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2818753"/>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FY26 segment revenue (INR Cr)</a:t>
            </a:r>
          </a:p>
        </c:rich>
      </c:tx>
      <c:overlay val="0"/>
      <c:spPr>
        <a:noFill/>
        <a:ln w="0">
          <a:noFill/>
        </a:ln>
      </c:spPr>
    </c:title>
    <c:autoTitleDeleted val="0"/>
    <c:plotArea>
      <c:barChart>
        <c:barDir val="bar"/>
        <c:grouping val="clustered"/>
        <c:varyColors val="0"/>
        <c:ser>
          <c:idx val="0"/>
          <c:order val="0"/>
          <c:spPr>
            <a:solidFill>
              <a:srgbClr val="9c7430"/>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'Segments &amp; Core'!$A$5:$A$11</c:f>
              <c:strCache>
                <c:ptCount val="7"/>
                <c:pt idx="0">
                  <c:v>Infrastructure Projects</c:v>
                </c:pt>
                <c:pt idx="1">
                  <c:v>Energy Projects</c:v>
                </c:pt>
                <c:pt idx="2">
                  <c:v>Hi-Tech Manufacturing</c:v>
                </c:pt>
                <c:pt idx="3">
                  <c:v>IT &amp; Technology Services</c:v>
                </c:pt>
                <c:pt idx="4">
                  <c:v>Financial Services</c:v>
                </c:pt>
                <c:pt idx="5">
                  <c:v>Development Projects</c:v>
                </c:pt>
                <c:pt idx="6">
                  <c:v>Others</c:v>
                </c:pt>
              </c:strCache>
            </c:strRef>
          </c:cat>
          <c:val>
            <c:numRef>
              <c:f>'Segments &amp; Core'!$C$5:$C$11</c:f>
              <c:numCache>
                <c:formatCode>#,##0.00;\(#,##0.00\);\-</c:formatCode>
                <c:ptCount val="7"/>
                <c:pt idx="0">
                  <c:v>135344.58</c:v>
                </c:pt>
                <c:pt idx="1">
                  <c:v>54888.59</c:v>
                </c:pt>
                <c:pt idx="2">
                  <c:v>14488.79</c:v>
                </c:pt>
                <c:pt idx="3">
                  <c:v>53946.53</c:v>
                </c:pt>
                <c:pt idx="4">
                  <c:v>17283.43</c:v>
                </c:pt>
                <c:pt idx="5">
                  <c:v>5118.51</c:v>
                </c:pt>
                <c:pt idx="6">
                  <c:v>7978.01</c:v>
                </c:pt>
              </c:numCache>
            </c:numRef>
          </c:val>
        </c:ser>
        <c:gapWidth val="150"/>
        <c:overlap val="0"/>
        <c:axId val="82660125"/>
        <c:axId val="31730378"/>
      </c:barChart>
      <c:catAx>
        <c:axId val="82660125"/>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1730378"/>
        <c:crosses val="autoZero"/>
        <c:auto val="1"/>
        <c:lblAlgn val="ctr"/>
        <c:lblOffset val="100"/>
        <c:noMultiLvlLbl val="0"/>
      </c:catAx>
      <c:valAx>
        <c:axId val="31730378"/>
        <c:scaling>
          <c:orientation val="minMax"/>
        </c:scaling>
        <c:delete val="0"/>
        <c:axPos val="l"/>
        <c:majorGridlines>
          <c:spPr>
            <a:ln w="9360">
              <a:solidFill>
                <a:srgbClr val="878787"/>
              </a:solidFill>
              <a:round/>
            </a:ln>
          </c:spPr>
        </c:majorGridlines>
        <c:numFmt formatCode="#,##0.00;\(#,##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266012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ROE (owners PAT / owners equity)</a:t>
            </a:r>
          </a:p>
        </c:rich>
      </c:tx>
      <c:overlay val="0"/>
      <c:spPr>
        <a:noFill/>
        <a:ln w="0">
          <a:noFill/>
        </a:ln>
      </c:spPr>
    </c:title>
    <c:autoTitleDeleted val="0"/>
    <c:plotArea>
      <c:barChart>
        <c:barDir val="col"/>
        <c:grouping val="clustered"/>
        <c:varyColors val="0"/>
        <c:ser>
          <c:idx val="0"/>
          <c:order val="0"/>
          <c:tx>
            <c:strRef>
              <c:f>'Five-Year Trend &amp; DuPont'!A24</c:f>
              <c:strCache>
                <c:ptCount val="1"/>
                <c:pt idx="0">
                  <c:v>ROE = margin x turnover x multiplier</c:v>
                </c:pt>
              </c:strCache>
            </c:strRef>
          </c:tx>
          <c:spPr>
            <a:solidFill>
              <a:srgbClr val="9c7430"/>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'Five-Year Trend &amp; DuPont'!$B$3:$F$3</c:f>
              <c:strCache>
                <c:ptCount val="5"/>
                <c:pt idx="0">
                  <c:v>FY22</c:v>
                </c:pt>
                <c:pt idx="1">
                  <c:v>FY23</c:v>
                </c:pt>
                <c:pt idx="2">
                  <c:v>FY24</c:v>
                </c:pt>
                <c:pt idx="3">
                  <c:v>FY25</c:v>
                </c:pt>
                <c:pt idx="4">
                  <c:v>FY26</c:v>
                </c:pt>
              </c:strCache>
            </c:strRef>
          </c:cat>
          <c:val>
            <c:numRef>
              <c:f>'Five-Year Trend &amp; DuPont'!$B$24:$F$24</c:f>
              <c:numCache>
                <c:formatCode>0.00%</c:formatCode>
                <c:ptCount val="5"/>
                <c:pt idx="0">
                  <c:v>0.105200101931851</c:v>
                </c:pt>
                <c:pt idx="1">
                  <c:v>0.117219174708372</c:v>
                </c:pt>
                <c:pt idx="2">
                  <c:v>0.151218865433829</c:v>
                </c:pt>
                <c:pt idx="3">
                  <c:v>0.153981031297744</c:v>
                </c:pt>
                <c:pt idx="4">
                  <c:v>0.147168262729001</c:v>
                </c:pt>
              </c:numCache>
            </c:numRef>
          </c:val>
        </c:ser>
        <c:gapWidth val="150"/>
        <c:overlap val="0"/>
        <c:axId val="15754266"/>
        <c:axId val="20770927"/>
      </c:barChart>
      <c:catAx>
        <c:axId val="15754266"/>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0770927"/>
        <c:crosses val="autoZero"/>
        <c:auto val="1"/>
        <c:lblAlgn val="ctr"/>
        <c:lblOffset val="100"/>
        <c:noMultiLvlLbl val="0"/>
      </c:catAx>
      <c:valAx>
        <c:axId val="20770927"/>
        <c:scaling>
          <c:orientation val="minMax"/>
        </c:scaling>
        <c:delete val="0"/>
        <c:axPos val="l"/>
        <c:majorGridlines>
          <c:spPr>
            <a:ln w="9360">
              <a:solidFill>
                <a:srgbClr val="878787"/>
              </a:solidFill>
              <a:round/>
            </a:ln>
          </c:spPr>
        </c:majorGridlines>
        <c:numFmt formatCode="0.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5754266"/>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Base-case FCFF (INR Cr)</a:t>
            </a:r>
          </a:p>
        </c:rich>
      </c:tx>
      <c:overlay val="0"/>
      <c:spPr>
        <a:noFill/>
        <a:ln w="0">
          <a:noFill/>
        </a:ln>
      </c:spPr>
    </c:title>
    <c:autoTitleDeleted val="0"/>
    <c:plotArea>
      <c:barChart>
        <c:barDir val="col"/>
        <c:grouping val="clustered"/>
        <c:varyColors val="0"/>
        <c:ser>
          <c:idx val="0"/>
          <c:order val="0"/>
          <c:spPr>
            <a:solidFill>
              <a:srgbClr val="13213a"/>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'Forecast &amp; FCFF'!$C$33:$L$33</c:f>
              <c:strCache>
                <c:ptCount val="10"/>
                <c:pt idx="0">
                  <c:v>FY27E</c:v>
                </c:pt>
                <c:pt idx="1">
                  <c:v>FY28E</c:v>
                </c:pt>
                <c:pt idx="2">
                  <c:v>FY29E</c:v>
                </c:pt>
                <c:pt idx="3">
                  <c:v>FY30E</c:v>
                </c:pt>
                <c:pt idx="4">
                  <c:v>FY31E</c:v>
                </c:pt>
                <c:pt idx="5">
                  <c:v>FY32E</c:v>
                </c:pt>
                <c:pt idx="6">
                  <c:v>FY33E</c:v>
                </c:pt>
                <c:pt idx="7">
                  <c:v>FY34E</c:v>
                </c:pt>
                <c:pt idx="8">
                  <c:v>FY35E</c:v>
                </c:pt>
                <c:pt idx="9">
                  <c:v>FY36E</c:v>
                </c:pt>
              </c:strCache>
            </c:strRef>
          </c:cat>
          <c:val>
            <c:numRef>
              <c:f>'Forecast &amp; FCFF'!$C$46:$L$46</c:f>
              <c:numCache>
                <c:formatCode>#,##0;\(#,##0\);\-</c:formatCode>
                <c:ptCount val="10"/>
                <c:pt idx="0">
                  <c:v>11640.945778944</c:v>
                </c:pt>
                <c:pt idx="1">
                  <c:v>14309.9746761754</c:v>
                </c:pt>
                <c:pt idx="2">
                  <c:v>16125.9230249021</c:v>
                </c:pt>
                <c:pt idx="3">
                  <c:v>20098.1512639739</c:v>
                </c:pt>
                <c:pt idx="4">
                  <c:v>22463.1929209176</c:v>
                </c:pt>
                <c:pt idx="5">
                  <c:v>24865.4408217935</c:v>
                </c:pt>
                <c:pt idx="6">
                  <c:v>27048.1929371432</c:v>
                </c:pt>
                <c:pt idx="7">
                  <c:v>29232.1322829927</c:v>
                </c:pt>
                <c:pt idx="8">
                  <c:v>31278.3815428022</c:v>
                </c:pt>
                <c:pt idx="9">
                  <c:v>33490.8623203626</c:v>
                </c:pt>
              </c:numCache>
            </c:numRef>
          </c:val>
        </c:ser>
        <c:gapWidth val="150"/>
        <c:overlap val="0"/>
        <c:axId val="13988237"/>
        <c:axId val="7090344"/>
      </c:barChart>
      <c:catAx>
        <c:axId val="13988237"/>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090344"/>
        <c:crosses val="autoZero"/>
        <c:auto val="1"/>
        <c:lblAlgn val="ctr"/>
        <c:lblOffset val="100"/>
        <c:noMultiLvlLbl val="0"/>
      </c:catAx>
      <c:valAx>
        <c:axId val="7090344"/>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13988237"/>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Value per share (INR): low to high</a:t>
            </a:r>
          </a:p>
        </c:rich>
      </c:tx>
      <c:overlay val="0"/>
      <c:spPr>
        <a:noFill/>
        <a:ln w="0">
          <a:noFill/>
        </a:ln>
      </c:spPr>
    </c:title>
    <c:autoTitleDeleted val="0"/>
    <c:plotArea>
      <c:barChart>
        <c:barDir val="bar"/>
        <c:grouping val="stacked"/>
        <c:varyColors val="0"/>
        <c:ser>
          <c:idx val="0"/>
          <c:order val="0"/>
          <c:tx>
            <c:strRef>
              <c:f>'Football Field'!E5</c:f>
              <c:strCache>
                <c:ptCount val="1"/>
                <c:pt idx="0">
                  <c:v>Base (hidden)</c:v>
                </c:pt>
              </c:strCache>
            </c:strRef>
          </c:tx>
          <c:spPr>
            <a:noFill/>
            <a:ln w="936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'Football Field'!$A$6:$A$11</c:f>
              <c:strCache>
                <c:ptCount val="6"/>
                <c:pt idx="0">
                  <c:v>52-week trading range</c:v>
                </c:pt>
                <c:pt idx="1">
                  <c:v>DCF: bear to bull</c:v>
                </c:pt>
                <c:pt idx="2">
                  <c:v>DCF base: WACC 12% to 15%</c:v>
                </c:pt>
                <c:pt idx="3">
                  <c:v>Comps: EV/EBITDA (core)</c:v>
                </c:pt>
                <c:pt idx="4">
                  <c:v>Comps: EV/Revenue (core)</c:v>
                </c:pt>
                <c:pt idx="5">
                  <c:v>Comps: P/E (consolidated)</c:v>
                </c:pt>
              </c:strCache>
            </c:strRef>
          </c:cat>
          <c:val>
            <c:numRef>
              <c:f>'Football Field'!$E$6:$E$11</c:f>
              <c:numCache>
                <c:formatCode>#,##0</c:formatCode>
                <c:ptCount val="6"/>
                <c:pt idx="0">
                  <c:v>3288.1</c:v>
                </c:pt>
                <c:pt idx="1">
                  <c:v>1138.06258007072</c:v>
                </c:pt>
                <c:pt idx="2">
                  <c:v>1338.55273891694</c:v>
                </c:pt>
                <c:pt idx="3">
                  <c:v>1812.59789373119</c:v>
                </c:pt>
                <c:pt idx="4">
                  <c:v>1979.97444563269</c:v>
                </c:pt>
                <c:pt idx="5">
                  <c:v>2855.42672918256</c:v>
                </c:pt>
              </c:numCache>
            </c:numRef>
          </c:val>
        </c:ser>
        <c:ser>
          <c:idx val="1"/>
          <c:order val="1"/>
          <c:tx>
            <c:strRef>
              <c:f>'Football Field'!F5</c:f>
              <c:strCache>
                <c:ptCount val="1"/>
                <c:pt idx="0">
                  <c:v>Range</c:v>
                </c:pt>
              </c:strCache>
            </c:strRef>
          </c:tx>
          <c:spPr>
            <a:solidFill>
              <a:srgbClr val="9c7430"/>
            </a:solidFill>
            <a:ln w="9360">
              <a:solidFill>
                <a:srgbClr val="f9f9f9"/>
              </a:solidFill>
              <a:round/>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'Football Field'!$A$6:$A$11</c:f>
              <c:strCache>
                <c:ptCount val="6"/>
                <c:pt idx="0">
                  <c:v>52-week trading range</c:v>
                </c:pt>
                <c:pt idx="1">
                  <c:v>DCF: bear to bull</c:v>
                </c:pt>
                <c:pt idx="2">
                  <c:v>DCF base: WACC 12% to 15%</c:v>
                </c:pt>
                <c:pt idx="3">
                  <c:v>Comps: EV/EBITDA (core)</c:v>
                </c:pt>
                <c:pt idx="4">
                  <c:v>Comps: EV/Revenue (core)</c:v>
                </c:pt>
                <c:pt idx="5">
                  <c:v>Comps: P/E (consolidated)</c:v>
                </c:pt>
              </c:strCache>
            </c:strRef>
          </c:cat>
          <c:val>
            <c:numRef>
              <c:f>'Football Field'!$F$6:$F$11</c:f>
              <c:numCache>
                <c:formatCode>#,##0</c:formatCode>
                <c:ptCount val="6"/>
                <c:pt idx="0">
                  <c:v>1151.9</c:v>
                </c:pt>
                <c:pt idx="1">
                  <c:v>1305.47581589087</c:v>
                </c:pt>
                <c:pt idx="2">
                  <c:v>657.686427909649</c:v>
                </c:pt>
                <c:pt idx="3">
                  <c:v>890.627188678726</c:v>
                </c:pt>
                <c:pt idx="4">
                  <c:v>473.861589321636</c:v>
                </c:pt>
                <c:pt idx="5">
                  <c:v>1707.24073016132</c:v>
                </c:pt>
              </c:numCache>
            </c:numRef>
          </c:val>
        </c:ser>
        <c:gapWidth val="150"/>
        <c:overlap val="100"/>
        <c:axId val="50951295"/>
        <c:axId val="85445151"/>
      </c:barChart>
      <c:catAx>
        <c:axId val="50951295"/>
        <c:scaling>
          <c:orientation val="maxMin"/>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85445151"/>
        <c:crosses val="autoZero"/>
        <c:auto val="1"/>
        <c:lblAlgn val="ctr"/>
        <c:lblOffset val="100"/>
        <c:noMultiLvlLbl val="0"/>
      </c:catAx>
      <c:valAx>
        <c:axId val="85445151"/>
        <c:scaling>
          <c:orientation val="minMax"/>
          <c:min val="0"/>
        </c:scaling>
        <c:delete val="0"/>
        <c:axPos val="l"/>
        <c:majorGridlines>
          <c:spPr>
            <a:ln w="9360">
              <a:solidFill>
                <a:srgbClr val="878787"/>
              </a:solidFill>
              <a:round/>
            </a:ln>
          </c:spPr>
        </c:majorGridlines>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0951295"/>
        <c:crosses val="autoZero"/>
        <c:crossBetween val="between"/>
      </c:valAx>
      <c:spPr>
        <a:noFill/>
        <a:ln w="0">
          <a:noFill/>
        </a:ln>
      </c:spPr>
    </c:plotArea>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_rels/drawing2.xml.rels><?xml version="1.0" encoding="UTF-8"?>
<Relationships xmlns="http://schemas.openxmlformats.org/package/2006/relationships"><Relationship Id="rId1" Type="http://schemas.openxmlformats.org/officeDocument/2006/relationships/chart" Target="../charts/chart3.xml"/>
</Relationships>
</file>

<file path=xl/drawings/_rels/drawing3.xml.rels><?xml version="1.0" encoding="UTF-8"?>
<Relationships xmlns="http://schemas.openxmlformats.org/package/2006/relationships"><Relationship Id="rId1" Type="http://schemas.openxmlformats.org/officeDocument/2006/relationships/chart" Target="../charts/chart4.xml"/>
</Relationships>
</file>

<file path=xl/drawings/_rels/drawing4.xml.rels><?xml version="1.0" encoding="UTF-8"?>
<Relationships xmlns="http://schemas.openxmlformats.org/package/2006/relationships"><Relationship Id="rId1" Type="http://schemas.openxmlformats.org/officeDocument/2006/relationships/chart" Target="../charts/chart5.xml"/>
</Relationships>
</file>

<file path=xl/drawings/_rels/drawing5.xml.rels><?xml version="1.0" encoding="UTF-8"?>
<Relationships xmlns="http://schemas.openxmlformats.org/package/2006/relationships"><Relationship Id="rId1" Type="http://schemas.openxmlformats.org/officeDocument/2006/relationships/chart" Target="../charts/chart6.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8</xdr:col>
      <xdr:colOff>0</xdr:colOff>
      <xdr:row>1</xdr:row>
      <xdr:rowOff>160560</xdr:rowOff>
    </xdr:from>
    <xdr:to>
      <xdr:col>16</xdr:col>
      <xdr:colOff>147600</xdr:colOff>
      <xdr:row>16</xdr:row>
      <xdr:rowOff>2520</xdr:rowOff>
    </xdr:to>
    <xdr:graphicFrame>
      <xdr:nvGraphicFramePr>
        <xdr:cNvPr id="0" name="Chart 1"/>
        <xdr:cNvGraphicFramePr/>
      </xdr:nvGraphicFramePr>
      <xdr:xfrm>
        <a:off x="10902240" y="380880"/>
        <a:ext cx="503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8</xdr:col>
      <xdr:colOff>0</xdr:colOff>
      <xdr:row>18</xdr:row>
      <xdr:rowOff>160560</xdr:rowOff>
    </xdr:from>
    <xdr:to>
      <xdr:col>16</xdr:col>
      <xdr:colOff>147600</xdr:colOff>
      <xdr:row>33</xdr:row>
      <xdr:rowOff>2880</xdr:rowOff>
    </xdr:to>
    <xdr:graphicFrame>
      <xdr:nvGraphicFramePr>
        <xdr:cNvPr id="1" name="Chart 2"/>
        <xdr:cNvGraphicFramePr/>
      </xdr:nvGraphicFramePr>
      <xdr:xfrm>
        <a:off x="10902240" y="3619440"/>
        <a:ext cx="5039640" cy="269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2</xdr:row>
      <xdr:rowOff>160920</xdr:rowOff>
    </xdr:from>
    <xdr:to>
      <xdr:col>12</xdr:col>
      <xdr:colOff>507600</xdr:colOff>
      <xdr:row>17</xdr:row>
      <xdr:rowOff>182880</xdr:rowOff>
    </xdr:to>
    <xdr:graphicFrame>
      <xdr:nvGraphicFramePr>
        <xdr:cNvPr id="2" name="Chart 1"/>
        <xdr:cNvGraphicFramePr/>
      </xdr:nvGraphicFramePr>
      <xdr:xfrm>
        <a:off x="8787600" y="571680"/>
        <a:ext cx="53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1</xdr:row>
      <xdr:rowOff>160560</xdr:rowOff>
    </xdr:from>
    <xdr:to>
      <xdr:col>14</xdr:col>
      <xdr:colOff>399240</xdr:colOff>
      <xdr:row>15</xdr:row>
      <xdr:rowOff>13320</xdr:rowOff>
    </xdr:to>
    <xdr:graphicFrame>
      <xdr:nvGraphicFramePr>
        <xdr:cNvPr id="3" name="Chart 1"/>
        <xdr:cNvGraphicFramePr/>
      </xdr:nvGraphicFramePr>
      <xdr:xfrm>
        <a:off x="9633600" y="380880"/>
        <a:ext cx="4679640" cy="25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13</xdr:col>
      <xdr:colOff>0</xdr:colOff>
      <xdr:row>30</xdr:row>
      <xdr:rowOff>160560</xdr:rowOff>
    </xdr:from>
    <xdr:to>
      <xdr:col>22</xdr:col>
      <xdr:colOff>256320</xdr:colOff>
      <xdr:row>45</xdr:row>
      <xdr:rowOff>2880</xdr:rowOff>
    </xdr:to>
    <xdr:graphicFrame>
      <xdr:nvGraphicFramePr>
        <xdr:cNvPr id="4" name="Chart 1"/>
        <xdr:cNvGraphicFramePr/>
      </xdr:nvGraphicFramePr>
      <xdr:xfrm>
        <a:off x="12735000" y="5905440"/>
        <a:ext cx="5759640" cy="26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12</xdr:row>
      <xdr:rowOff>48240</xdr:rowOff>
    </xdr:from>
    <xdr:to>
      <xdr:col>6</xdr:col>
      <xdr:colOff>433080</xdr:colOff>
      <xdr:row>29</xdr:row>
      <xdr:rowOff>49320</xdr:rowOff>
    </xdr:to>
    <xdr:graphicFrame>
      <xdr:nvGraphicFramePr>
        <xdr:cNvPr id="5" name="Chart 1"/>
        <xdr:cNvGraphicFramePr/>
      </xdr:nvGraphicFramePr>
      <xdr:xfrm>
        <a:off x="0" y="2476440"/>
        <a:ext cx="719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6.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_rels/sheet11.xml.rels><?xml version="1.0" encoding="UTF-8"?>
<Relationships xmlns="http://schemas.openxmlformats.org/package/2006/relationships"><Relationship Id="rId1" Type="http://schemas.openxmlformats.org/officeDocument/2006/relationships/drawing" Target="../drawings/drawing4.xml"/>
</Relationships>
</file>

<file path=xl/worksheets/_rels/sheet14.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3213A"/>
    <pageSetUpPr fitToPage="false"/>
  </sheetPr>
  <dimension ref="A1:D46"/>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26"/>
    <col collapsed="false" customWidth="true" hidden="false" outlineLevel="0" max="4" min="3" style="0" width="14"/>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t="s">
        <v>3</v>
      </c>
    </row>
    <row r="5" customFormat="false" ht="15" hidden="false" customHeight="false" outlineLevel="0" collapsed="false">
      <c r="A5" s="5" t="s">
        <v>4</v>
      </c>
      <c r="B5" s="5" t="s">
        <v>5</v>
      </c>
    </row>
    <row r="6" customFormat="false" ht="15" hidden="false" customHeight="false" outlineLevel="0" collapsed="false">
      <c r="A6" s="5" t="s">
        <v>6</v>
      </c>
      <c r="B6" s="5" t="s">
        <v>7</v>
      </c>
    </row>
    <row r="7" customFormat="false" ht="15" hidden="false" customHeight="false" outlineLevel="0" collapsed="false">
      <c r="A7" s="5" t="s">
        <v>8</v>
      </c>
      <c r="B7" s="5" t="str">
        <f aca="false">'Assumptions &amp; Drivers'!B6</f>
        <v>29 Oct 2026</v>
      </c>
    </row>
    <row r="8" customFormat="false" ht="15" hidden="false" customHeight="false" outlineLevel="0" collapsed="false">
      <c r="A8" s="5" t="s">
        <v>9</v>
      </c>
      <c r="B8" s="6" t="n">
        <f aca="false">'Assumptions &amp; Drivers'!B5</f>
        <v>3837</v>
      </c>
    </row>
    <row r="9" customFormat="false" ht="15" hidden="false" customHeight="false" outlineLevel="0" collapsed="false">
      <c r="A9" s="5" t="s">
        <v>10</v>
      </c>
      <c r="B9" s="7" t="n">
        <f aca="false">'Assumptions &amp; Drivers'!B9</f>
        <v>137.565</v>
      </c>
    </row>
    <row r="10" customFormat="false" ht="15" hidden="false" customHeight="false" outlineLevel="0" collapsed="false">
      <c r="A10" s="5" t="s">
        <v>11</v>
      </c>
      <c r="B10" s="7" t="n">
        <f aca="false">'Assumptions &amp; Drivers'!B10</f>
        <v>527836.905</v>
      </c>
    </row>
    <row r="11" customFormat="false" ht="15" hidden="false" customHeight="false" outlineLevel="0" collapsed="false">
      <c r="A11" s="5" t="s">
        <v>12</v>
      </c>
      <c r="B11" s="7" t="n">
        <f aca="false">'Income Statement'!C4</f>
        <v>285874.36</v>
      </c>
    </row>
    <row r="12" customFormat="false" ht="15" hidden="false" customHeight="false" outlineLevel="0" collapsed="false">
      <c r="A12" s="5" t="s">
        <v>13</v>
      </c>
      <c r="B12" s="7" t="n">
        <f aca="false">'Income Statement'!C18</f>
        <v>29151.14</v>
      </c>
      <c r="C12" s="8" t="n">
        <f aca="false">'Income Statement'!C19</f>
        <v>0.101971859246139</v>
      </c>
    </row>
    <row r="13" customFormat="false" ht="15" hidden="false" customHeight="false" outlineLevel="0" collapsed="false">
      <c r="A13" s="5" t="s">
        <v>14</v>
      </c>
      <c r="B13" s="7" t="n">
        <f aca="false">'Income Statement'!C32</f>
        <v>16083.99</v>
      </c>
    </row>
    <row r="14" customFormat="false" ht="15" hidden="false" customHeight="false" outlineLevel="0" collapsed="false">
      <c r="A14" s="5" t="s">
        <v>15</v>
      </c>
      <c r="B14" s="9" t="n">
        <v>740327</v>
      </c>
    </row>
    <row r="16" customFormat="false" ht="15" hidden="false" customHeight="false" outlineLevel="0" collapsed="false">
      <c r="A16" s="3" t="s">
        <v>16</v>
      </c>
      <c r="B16" s="4" t="s">
        <v>17</v>
      </c>
      <c r="C16" s="4" t="s">
        <v>18</v>
      </c>
      <c r="D16" s="4" t="s">
        <v>19</v>
      </c>
    </row>
    <row r="17" customFormat="false" ht="15" hidden="false" customHeight="false" outlineLevel="0" collapsed="false">
      <c r="A17" s="5" t="s">
        <v>20</v>
      </c>
      <c r="B17" s="10" t="n">
        <f aca="false">'DCF Valuation'!B11</f>
        <v>1138.06258007072</v>
      </c>
      <c r="C17" s="10" t="n">
        <f aca="false">'DCF Valuation'!C11</f>
        <v>1771.6874572139</v>
      </c>
      <c r="D17" s="10" t="n">
        <f aca="false">'DCF Valuation'!D11</f>
        <v>2443.53839596159</v>
      </c>
    </row>
    <row r="18" customFormat="false" ht="15" hidden="false" customHeight="false" outlineLevel="0" collapsed="false">
      <c r="A18" s="5" t="s">
        <v>21</v>
      </c>
      <c r="B18" s="10" t="n">
        <f aca="false">'Comparable Valuation'!F19</f>
        <v>1812.59789373119</v>
      </c>
      <c r="C18" s="10" t="n">
        <f aca="false">'Comparable Valuation'!G19</f>
        <v>2155.61897833825</v>
      </c>
      <c r="D18" s="10" t="n">
        <f aca="false">'Comparable Valuation'!H19</f>
        <v>2703.22508240991</v>
      </c>
    </row>
    <row r="19" customFormat="false" ht="15" hidden="false" customHeight="false" outlineLevel="0" collapsed="false">
      <c r="A19" s="5" t="s">
        <v>22</v>
      </c>
      <c r="B19" s="10" t="n">
        <f aca="false">'Comparable Valuation'!F22</f>
        <v>2855.42672918256</v>
      </c>
      <c r="C19" s="10" t="n">
        <f aca="false">'Comparable Valuation'!G22</f>
        <v>3467.03837548858</v>
      </c>
      <c r="D19" s="10" t="n">
        <f aca="false">'Comparable Valuation'!H22</f>
        <v>4562.66745934388</v>
      </c>
    </row>
    <row r="20" customFormat="false" ht="15" hidden="false" customHeight="false" outlineLevel="0" collapsed="false">
      <c r="A20" s="5" t="s">
        <v>23</v>
      </c>
      <c r="B20" s="10" t="n">
        <f aca="false">'Assumptions &amp; Drivers'!B11</f>
        <v>3288.1</v>
      </c>
      <c r="C20" s="10" t="n">
        <f aca="false">'Assumptions &amp; Drivers'!B5</f>
        <v>3837</v>
      </c>
      <c r="D20" s="10" t="n">
        <f aca="false">'Assumptions &amp; Drivers'!B12</f>
        <v>4440</v>
      </c>
    </row>
    <row r="23" customFormat="false" ht="15" hidden="false" customHeight="false" outlineLevel="0" collapsed="false">
      <c r="A23" s="3" t="s">
        <v>24</v>
      </c>
      <c r="B23" s="4" t="s">
        <v>25</v>
      </c>
    </row>
    <row r="24" customFormat="false" ht="15" hidden="false" customHeight="false" outlineLevel="0" collapsed="false">
      <c r="A24" s="5" t="s">
        <v>26</v>
      </c>
      <c r="B24" s="11" t="b">
        <f aca="false">AND('Balance Sheet'!B60=0,'Balance Sheet'!C60=0)</f>
        <v>1</v>
      </c>
    </row>
    <row r="25" customFormat="false" ht="15" hidden="false" customHeight="false" outlineLevel="0" collapsed="false">
      <c r="A25" s="5" t="s">
        <v>27</v>
      </c>
      <c r="B25" s="11" t="b">
        <f aca="false">AND('Balance Sheet'!B62=0,'Balance Sheet'!C62=0)</f>
        <v>1</v>
      </c>
    </row>
    <row r="26" customFormat="false" ht="15" hidden="false" customHeight="false" outlineLevel="0" collapsed="false">
      <c r="A26" s="5" t="s">
        <v>28</v>
      </c>
      <c r="B26" s="11" t="b">
        <f aca="false">AND('Income Statement'!B37=0,'Income Statement'!C37=0)</f>
        <v>1</v>
      </c>
    </row>
    <row r="27" customFormat="false" ht="15" hidden="false" customHeight="false" outlineLevel="0" collapsed="false">
      <c r="A27" s="5" t="s">
        <v>29</v>
      </c>
      <c r="B27" s="11" t="b">
        <f aca="false">AND('Cash Flow Statement'!B22=0,'Cash Flow Statement'!C22=0)</f>
        <v>1</v>
      </c>
    </row>
    <row r="28" customFormat="false" ht="15" hidden="false" customHeight="false" outlineLevel="0" collapsed="false">
      <c r="A28" s="5" t="s">
        <v>30</v>
      </c>
      <c r="B28" s="11" t="b">
        <f aca="false">ABS('Income Statement'!C34-'Income Statement'!C35)&lt;0.05</f>
        <v>1</v>
      </c>
    </row>
    <row r="29" customFormat="false" ht="15" hidden="false" customHeight="false" outlineLevel="0" collapsed="false">
      <c r="A29" s="5" t="s">
        <v>31</v>
      </c>
      <c r="B29" s="11" t="b">
        <f aca="false">AND('Football Field'!H6:H11)</f>
        <v>1</v>
      </c>
    </row>
    <row r="30" customFormat="false" ht="15" hidden="false" customHeight="false" outlineLevel="0" collapsed="false">
      <c r="A30" s="5" t="s">
        <v>32</v>
      </c>
      <c r="B30" s="11" t="b">
        <f aca="false">ABS('Ratio Analysis'!C21-0.95)&lt;0.005</f>
        <v>1</v>
      </c>
    </row>
    <row r="32" customFormat="false" ht="15" hidden="false" customHeight="false" outlineLevel="0" collapsed="false">
      <c r="A32" s="12" t="s">
        <v>33</v>
      </c>
    </row>
    <row r="33" customFormat="false" ht="15" hidden="false" customHeight="false" outlineLevel="0" collapsed="false">
      <c r="A33" s="13" t="s">
        <v>34</v>
      </c>
      <c r="B33" s="5" t="s">
        <v>35</v>
      </c>
    </row>
    <row r="34" customFormat="false" ht="15" hidden="false" customHeight="false" outlineLevel="0" collapsed="false">
      <c r="A34" s="13" t="s">
        <v>36</v>
      </c>
      <c r="B34" s="5" t="s">
        <v>37</v>
      </c>
    </row>
    <row r="35" customFormat="false" ht="15" hidden="false" customHeight="false" outlineLevel="0" collapsed="false">
      <c r="A35" s="13" t="s">
        <v>38</v>
      </c>
      <c r="B35" s="5" t="s">
        <v>39</v>
      </c>
    </row>
    <row r="36" customFormat="false" ht="15" hidden="false" customHeight="false" outlineLevel="0" collapsed="false">
      <c r="A36" s="13" t="s">
        <v>40</v>
      </c>
      <c r="B36" s="5" t="s">
        <v>41</v>
      </c>
    </row>
    <row r="37" customFormat="false" ht="15" hidden="false" customHeight="false" outlineLevel="0" collapsed="false">
      <c r="A37" s="13" t="s">
        <v>42</v>
      </c>
      <c r="B37" s="5" t="s">
        <v>43</v>
      </c>
    </row>
    <row r="38" customFormat="false" ht="15" hidden="false" customHeight="false" outlineLevel="0" collapsed="false">
      <c r="A38" s="13" t="s">
        <v>44</v>
      </c>
      <c r="B38" s="5" t="s">
        <v>45</v>
      </c>
    </row>
    <row r="39" customFormat="false" ht="15" hidden="false" customHeight="false" outlineLevel="0" collapsed="false">
      <c r="A39" s="13" t="s">
        <v>46</v>
      </c>
      <c r="B39" s="5" t="s">
        <v>47</v>
      </c>
    </row>
    <row r="40" customFormat="false" ht="15" hidden="false" customHeight="false" outlineLevel="0" collapsed="false">
      <c r="A40" s="13" t="s">
        <v>48</v>
      </c>
      <c r="B40" s="5" t="s">
        <v>49</v>
      </c>
    </row>
    <row r="41" customFormat="false" ht="15" hidden="false" customHeight="false" outlineLevel="0" collapsed="false">
      <c r="A41" s="13" t="s">
        <v>50</v>
      </c>
      <c r="B41" s="5" t="s">
        <v>51</v>
      </c>
    </row>
    <row r="42" customFormat="false" ht="15" hidden="false" customHeight="false" outlineLevel="0" collapsed="false">
      <c r="A42" s="13" t="s">
        <v>52</v>
      </c>
      <c r="B42" s="5" t="s">
        <v>53</v>
      </c>
    </row>
    <row r="43" customFormat="false" ht="15" hidden="false" customHeight="false" outlineLevel="0" collapsed="false">
      <c r="A43" s="13" t="s">
        <v>54</v>
      </c>
      <c r="B43" s="5" t="s">
        <v>55</v>
      </c>
    </row>
    <row r="44" customFormat="false" ht="15" hidden="false" customHeight="false" outlineLevel="0" collapsed="false">
      <c r="A44" s="13" t="s">
        <v>56</v>
      </c>
      <c r="B44" s="5" t="s">
        <v>57</v>
      </c>
    </row>
    <row r="45" customFormat="false" ht="15" hidden="false" customHeight="false" outlineLevel="0" collapsed="false">
      <c r="A45" s="13" t="s">
        <v>58</v>
      </c>
      <c r="B45" s="5" t="s">
        <v>59</v>
      </c>
    </row>
    <row r="46" customFormat="false" ht="15" hidden="false" customHeight="false" outlineLevel="0" collapsed="false">
      <c r="A46" s="13" t="s">
        <v>60</v>
      </c>
      <c r="B46" s="5" t="s">
        <v>61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C7430"/>
    <pageSetUpPr fitToPage="false"/>
  </sheetPr>
  <dimension ref="A1:N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4" min="2" style="0" width="14"/>
    <col collapsed="false" customWidth="true" hidden="false" outlineLevel="0" max="13" min="5" style="0" width="11"/>
  </cols>
  <sheetData>
    <row r="1" customFormat="false" ht="17.35" hidden="false" customHeight="false" outlineLevel="0" collapsed="false">
      <c r="A1" s="1" t="s">
        <v>62</v>
      </c>
    </row>
    <row r="2" customFormat="false" ht="15" hidden="false" customHeight="false" outlineLevel="0" collapsed="false">
      <c r="A2" s="2" t="s">
        <v>63</v>
      </c>
    </row>
    <row r="3" customFormat="false" ht="23.85" hidden="false" customHeight="false" outlineLevel="0" collapsed="false">
      <c r="A3" s="3" t="s">
        <v>64</v>
      </c>
      <c r="B3" s="4" t="s">
        <v>3</v>
      </c>
      <c r="C3" s="4" t="s">
        <v>65</v>
      </c>
    </row>
    <row r="4" customFormat="false" ht="15" hidden="false" customHeight="false" outlineLevel="0" collapsed="false">
      <c r="A4" s="12" t="s">
        <v>66</v>
      </c>
      <c r="B4" s="14"/>
      <c r="C4" s="2"/>
    </row>
    <row r="5" customFormat="false" ht="15" hidden="false" customHeight="false" outlineLevel="0" collapsed="false">
      <c r="A5" s="5" t="s">
        <v>9</v>
      </c>
      <c r="B5" s="15" t="n">
        <v>3837</v>
      </c>
      <c r="C5" s="2" t="s">
        <v>67</v>
      </c>
    </row>
    <row r="6" customFormat="false" ht="15" hidden="false" customHeight="false" outlineLevel="0" collapsed="false">
      <c r="A6" s="5" t="s">
        <v>8</v>
      </c>
      <c r="B6" s="14" t="s">
        <v>68</v>
      </c>
      <c r="C6" s="2"/>
    </row>
    <row r="7" customFormat="false" ht="15" hidden="false" customHeight="false" outlineLevel="0" collapsed="false">
      <c r="A7" s="5" t="s">
        <v>69</v>
      </c>
      <c r="B7" s="16" t="n">
        <v>2</v>
      </c>
      <c r="C7" s="2" t="s">
        <v>70</v>
      </c>
    </row>
    <row r="8" customFormat="false" ht="15" hidden="false" customHeight="false" outlineLevel="0" collapsed="false">
      <c r="A8" s="5" t="s">
        <v>71</v>
      </c>
      <c r="B8" s="17" t="n">
        <v>275.13</v>
      </c>
      <c r="C8" s="2" t="s">
        <v>72</v>
      </c>
    </row>
    <row r="9" customFormat="false" ht="15" hidden="false" customHeight="false" outlineLevel="0" collapsed="false">
      <c r="A9" s="5" t="s">
        <v>73</v>
      </c>
      <c r="B9" s="18" t="n">
        <f aca="false">B8/B7</f>
        <v>137.565</v>
      </c>
      <c r="C9" s="2" t="s">
        <v>74</v>
      </c>
    </row>
    <row r="10" customFormat="false" ht="15" hidden="false" customHeight="false" outlineLevel="0" collapsed="false">
      <c r="A10" s="5" t="s">
        <v>11</v>
      </c>
      <c r="B10" s="7" t="n">
        <f aca="false">B5*B9</f>
        <v>527836.905</v>
      </c>
      <c r="C10" s="2" t="s">
        <v>75</v>
      </c>
    </row>
    <row r="11" customFormat="false" ht="15" hidden="false" customHeight="false" outlineLevel="0" collapsed="false">
      <c r="A11" s="5" t="s">
        <v>76</v>
      </c>
      <c r="B11" s="15" t="n">
        <v>3288.1</v>
      </c>
      <c r="C11" s="2" t="s">
        <v>77</v>
      </c>
    </row>
    <row r="12" customFormat="false" ht="15" hidden="false" customHeight="false" outlineLevel="0" collapsed="false">
      <c r="A12" s="5" t="s">
        <v>78</v>
      </c>
      <c r="B12" s="15" t="n">
        <v>4440</v>
      </c>
      <c r="C12" s="2" t="s">
        <v>77</v>
      </c>
    </row>
    <row r="13" customFormat="false" ht="15" hidden="false" customHeight="false" outlineLevel="0" collapsed="false">
      <c r="A13" s="12" t="s">
        <v>79</v>
      </c>
    </row>
    <row r="14" customFormat="false" ht="15" hidden="false" customHeight="false" outlineLevel="0" collapsed="false">
      <c r="A14" s="5" t="s">
        <v>80</v>
      </c>
      <c r="B14" s="19" t="n">
        <v>0.07</v>
      </c>
      <c r="C14" s="2" t="s">
        <v>81</v>
      </c>
    </row>
    <row r="15" customFormat="false" ht="15" hidden="false" customHeight="false" outlineLevel="0" collapsed="false">
      <c r="A15" s="5" t="s">
        <v>82</v>
      </c>
      <c r="B15" s="19" t="n">
        <v>0.055</v>
      </c>
      <c r="C15" s="2" t="s">
        <v>83</v>
      </c>
    </row>
    <row r="16" customFormat="false" ht="15" hidden="false" customHeight="false" outlineLevel="0" collapsed="false">
      <c r="A16" s="5" t="s">
        <v>84</v>
      </c>
      <c r="B16" s="19" t="n">
        <v>0.078</v>
      </c>
      <c r="C16" s="2" t="s">
        <v>85</v>
      </c>
    </row>
    <row r="17" customFormat="false" ht="15" hidden="false" customHeight="false" outlineLevel="0" collapsed="false">
      <c r="A17" s="5" t="s">
        <v>86</v>
      </c>
      <c r="B17" s="19" t="n">
        <v>0.2517</v>
      </c>
      <c r="C17" s="2" t="s">
        <v>87</v>
      </c>
    </row>
    <row r="18" customFormat="false" ht="15" hidden="false" customHeight="false" outlineLevel="0" collapsed="false">
      <c r="A18" s="5" t="s">
        <v>88</v>
      </c>
      <c r="B18" s="17" t="n">
        <v>31968.09</v>
      </c>
      <c r="C18" s="2" t="s">
        <v>89</v>
      </c>
    </row>
    <row r="19" customFormat="false" ht="15" hidden="false" customHeight="false" outlineLevel="0" collapsed="false">
      <c r="A19" s="12" t="s">
        <v>90</v>
      </c>
    </row>
    <row r="20" customFormat="false" ht="15" hidden="false" customHeight="false" outlineLevel="0" collapsed="false">
      <c r="A20" s="5" t="s">
        <v>91</v>
      </c>
      <c r="B20" s="17" t="n">
        <v>35248.15</v>
      </c>
      <c r="C20" s="2" t="s">
        <v>92</v>
      </c>
    </row>
    <row r="21" customFormat="false" ht="15" hidden="false" customHeight="false" outlineLevel="0" collapsed="false">
      <c r="A21" s="5" t="s">
        <v>93</v>
      </c>
      <c r="B21" s="20" t="n">
        <f aca="false">'Balance Sheet'!C13</f>
        <v>2258.01</v>
      </c>
      <c r="C21" s="2" t="s">
        <v>94</v>
      </c>
    </row>
    <row r="22" customFormat="false" ht="15" hidden="false" customHeight="false" outlineLevel="0" collapsed="false">
      <c r="A22" s="5" t="s">
        <v>95</v>
      </c>
      <c r="B22" s="21" t="n">
        <v>1.8</v>
      </c>
      <c r="C22" s="2" t="s">
        <v>96</v>
      </c>
    </row>
    <row r="23" customFormat="false" ht="15" hidden="false" customHeight="false" outlineLevel="0" collapsed="false">
      <c r="A23" s="5" t="s">
        <v>97</v>
      </c>
      <c r="B23" s="21" t="n">
        <v>20</v>
      </c>
      <c r="C23" s="2" t="s">
        <v>98</v>
      </c>
    </row>
    <row r="24" customFormat="false" ht="15" hidden="false" customHeight="false" outlineLevel="0" collapsed="false">
      <c r="A24" s="12" t="s">
        <v>99</v>
      </c>
    </row>
    <row r="25" customFormat="false" ht="15" hidden="false" customHeight="false" outlineLevel="0" collapsed="false">
      <c r="A25" s="5" t="s">
        <v>100</v>
      </c>
      <c r="B25" s="22" t="n">
        <v>0.26</v>
      </c>
      <c r="C25" s="2" t="s">
        <v>101</v>
      </c>
    </row>
    <row r="26" customFormat="false" ht="15" hidden="false" customHeight="false" outlineLevel="0" collapsed="false">
      <c r="A26" s="5" t="s">
        <v>102</v>
      </c>
      <c r="B26" s="22" t="n">
        <v>0.022</v>
      </c>
      <c r="C26" s="2" t="s">
        <v>103</v>
      </c>
    </row>
    <row r="27" customFormat="false" ht="15" hidden="false" customHeight="false" outlineLevel="0" collapsed="false">
      <c r="A27" s="5" t="s">
        <v>104</v>
      </c>
      <c r="B27" s="22" t="n">
        <v>0.016</v>
      </c>
      <c r="C27" s="2" t="s">
        <v>105</v>
      </c>
    </row>
    <row r="28" customFormat="false" ht="15" hidden="false" customHeight="false" outlineLevel="0" collapsed="false">
      <c r="A28" s="5" t="s">
        <v>106</v>
      </c>
      <c r="B28" s="22" t="n">
        <v>0.041</v>
      </c>
      <c r="C28" s="2" t="s">
        <v>107</v>
      </c>
    </row>
    <row r="30" customFormat="false" ht="15" hidden="false" customHeight="false" outlineLevel="0" collapsed="false">
      <c r="A30" s="12" t="s">
        <v>108</v>
      </c>
    </row>
    <row r="31" customFormat="false" ht="15" hidden="false" customHeight="false" outlineLevel="0" collapsed="false">
      <c r="A31" s="3" t="s">
        <v>109</v>
      </c>
      <c r="B31" s="4" t="s">
        <v>110</v>
      </c>
      <c r="C31" s="4" t="s">
        <v>111</v>
      </c>
      <c r="D31" s="4" t="s">
        <v>112</v>
      </c>
    </row>
    <row r="32" customFormat="false" ht="15" hidden="false" customHeight="false" outlineLevel="0" collapsed="false">
      <c r="A32" s="5" t="s">
        <v>113</v>
      </c>
      <c r="B32" s="22" t="n">
        <v>-0.03</v>
      </c>
      <c r="C32" s="22" t="n">
        <v>0</v>
      </c>
      <c r="D32" s="22" t="n">
        <v>0.02</v>
      </c>
    </row>
    <row r="33" customFormat="false" ht="15" hidden="false" customHeight="false" outlineLevel="0" collapsed="false">
      <c r="A33" s="5" t="s">
        <v>114</v>
      </c>
      <c r="B33" s="22" t="n">
        <v>-0.006</v>
      </c>
      <c r="C33" s="22" t="n">
        <v>0</v>
      </c>
      <c r="D33" s="22" t="n">
        <v>0.005</v>
      </c>
    </row>
    <row r="34" customFormat="false" ht="15" hidden="false" customHeight="false" outlineLevel="0" collapsed="false">
      <c r="A34" s="5" t="s">
        <v>115</v>
      </c>
      <c r="B34" s="22" t="n">
        <v>0.01</v>
      </c>
      <c r="C34" s="22" t="n">
        <v>0</v>
      </c>
      <c r="D34" s="22" t="n">
        <v>-0.005</v>
      </c>
    </row>
    <row r="35" customFormat="false" ht="15" hidden="false" customHeight="false" outlineLevel="0" collapsed="false">
      <c r="A35" s="5" t="s">
        <v>116</v>
      </c>
      <c r="B35" s="22" t="n">
        <v>0.045</v>
      </c>
      <c r="C35" s="22" t="n">
        <v>0.05</v>
      </c>
      <c r="D35" s="22" t="n">
        <v>0.055</v>
      </c>
    </row>
    <row r="37" customFormat="false" ht="15" hidden="false" customHeight="false" outlineLevel="0" collapsed="false">
      <c r="A37" s="12" t="s">
        <v>117</v>
      </c>
    </row>
    <row r="38" customFormat="false" ht="15" hidden="false" customHeight="false" outlineLevel="0" collapsed="false">
      <c r="A38" s="3" t="s">
        <v>109</v>
      </c>
      <c r="B38" s="4" t="s">
        <v>118</v>
      </c>
      <c r="C38" s="4" t="s">
        <v>119</v>
      </c>
      <c r="D38" s="4" t="s">
        <v>120</v>
      </c>
      <c r="E38" s="4" t="s">
        <v>121</v>
      </c>
      <c r="F38" s="4" t="s">
        <v>122</v>
      </c>
      <c r="G38" s="4" t="s">
        <v>123</v>
      </c>
      <c r="H38" s="4" t="s">
        <v>124</v>
      </c>
      <c r="I38" s="4" t="s">
        <v>125</v>
      </c>
      <c r="J38" s="4" t="s">
        <v>126</v>
      </c>
      <c r="K38" s="4" t="s">
        <v>127</v>
      </c>
      <c r="L38" s="4" t="s">
        <v>128</v>
      </c>
    </row>
    <row r="39" customFormat="false" ht="15" hidden="false" customHeight="false" outlineLevel="0" collapsed="false">
      <c r="A39" s="5" t="s">
        <v>129</v>
      </c>
      <c r="B39" s="8" t="n">
        <f aca="false">('Segments &amp; Core'!C45/'Segments &amp; Core'!B45)-1</f>
        <v>0.116614166845084</v>
      </c>
      <c r="C39" s="22" t="n">
        <v>0.12</v>
      </c>
      <c r="D39" s="22" t="n">
        <v>0.12</v>
      </c>
      <c r="E39" s="22" t="n">
        <v>0.11</v>
      </c>
      <c r="F39" s="22" t="n">
        <v>0.1</v>
      </c>
      <c r="G39" s="22" t="n">
        <v>0.09</v>
      </c>
      <c r="H39" s="22" t="n">
        <v>0.08</v>
      </c>
      <c r="I39" s="22" t="n">
        <v>0.08</v>
      </c>
      <c r="J39" s="22" t="n">
        <v>0.07</v>
      </c>
      <c r="K39" s="22" t="n">
        <v>0.07</v>
      </c>
      <c r="L39" s="22" t="n">
        <v>0.06</v>
      </c>
      <c r="N39" s="2" t="s">
        <v>130</v>
      </c>
    </row>
    <row r="40" customFormat="false" ht="15" hidden="false" customHeight="false" outlineLevel="0" collapsed="false">
      <c r="A40" s="5" t="s">
        <v>131</v>
      </c>
      <c r="B40" s="8" t="n">
        <f aca="false">'Segments &amp; Core'!C47</f>
        <v>0.0935217358233205</v>
      </c>
      <c r="C40" s="22" t="n">
        <v>0.0945</v>
      </c>
      <c r="D40" s="22" t="n">
        <v>0.0955</v>
      </c>
      <c r="E40" s="22" t="n">
        <v>0.0965</v>
      </c>
      <c r="F40" s="22" t="n">
        <v>0.0975</v>
      </c>
      <c r="G40" s="22" t="n">
        <v>0.0985</v>
      </c>
      <c r="H40" s="22" t="n">
        <v>0.0995</v>
      </c>
      <c r="I40" s="22" t="n">
        <v>0.1</v>
      </c>
      <c r="J40" s="22" t="n">
        <v>0.1</v>
      </c>
      <c r="K40" s="22" t="n">
        <v>0.1</v>
      </c>
      <c r="L40" s="22" t="n">
        <v>0.1</v>
      </c>
      <c r="N40" s="2" t="s">
        <v>132</v>
      </c>
    </row>
    <row r="41" customFormat="false" ht="15" hidden="false" customHeight="false" outlineLevel="0" collapsed="false">
      <c r="A41" s="5" t="s">
        <v>133</v>
      </c>
      <c r="B41" s="8" t="n">
        <f aca="false">B28</f>
        <v>0.041</v>
      </c>
      <c r="C41" s="22" t="n">
        <v>0.05</v>
      </c>
      <c r="D41" s="22" t="n">
        <v>0.055</v>
      </c>
      <c r="E41" s="22" t="n">
        <v>0.06</v>
      </c>
      <c r="F41" s="22" t="n">
        <v>0.06</v>
      </c>
      <c r="G41" s="22" t="n">
        <v>0.06</v>
      </c>
      <c r="H41" s="22" t="n">
        <v>0.06</v>
      </c>
      <c r="I41" s="22" t="n">
        <v>0.06</v>
      </c>
      <c r="J41" s="22" t="n">
        <v>0.06</v>
      </c>
      <c r="K41" s="22" t="n">
        <v>0.06</v>
      </c>
      <c r="L41" s="22" t="n">
        <v>0.06</v>
      </c>
      <c r="N41" s="2" t="s">
        <v>134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C7430"/>
    <pageSetUpPr fitToPage="false"/>
  </sheetPr>
  <dimension ref="A1:G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2"/>
    <col collapsed="false" customWidth="true" hidden="false" outlineLevel="0" max="7" min="2" style="0" width="14"/>
  </cols>
  <sheetData>
    <row r="1" customFormat="false" ht="17.35" hidden="false" customHeight="false" outlineLevel="0" collapsed="false">
      <c r="A1" s="1" t="s">
        <v>135</v>
      </c>
    </row>
    <row r="2" customFormat="false" ht="15" hidden="false" customHeight="false" outlineLevel="0" collapsed="false">
      <c r="A2" s="2" t="s">
        <v>136</v>
      </c>
    </row>
    <row r="3" customFormat="false" ht="15" hidden="false" customHeight="false" outlineLevel="0" collapsed="false">
      <c r="A3" s="3" t="s">
        <v>137</v>
      </c>
      <c r="B3" s="4" t="s">
        <v>138</v>
      </c>
      <c r="C3" s="4" t="s">
        <v>118</v>
      </c>
    </row>
    <row r="4" customFormat="false" ht="15" hidden="false" customHeight="false" outlineLevel="0" collapsed="false">
      <c r="A4" s="5" t="s">
        <v>139</v>
      </c>
      <c r="B4" s="17" t="n">
        <v>255734.45</v>
      </c>
      <c r="C4" s="17" t="n">
        <v>285874.36</v>
      </c>
    </row>
    <row r="5" customFormat="false" ht="15" hidden="false" customHeight="false" outlineLevel="0" collapsed="false">
      <c r="A5" s="5" t="s">
        <v>140</v>
      </c>
      <c r="B5" s="17" t="n">
        <v>4124.82</v>
      </c>
      <c r="C5" s="17" t="n">
        <v>5760.68</v>
      </c>
    </row>
    <row r="6" customFormat="false" ht="15" hidden="false" customHeight="false" outlineLevel="0" collapsed="false">
      <c r="A6" s="13" t="s">
        <v>141</v>
      </c>
      <c r="B6" s="23" t="n">
        <f aca="false">B4+B5</f>
        <v>259859.27</v>
      </c>
      <c r="C6" s="23" t="n">
        <f aca="false">C4+C5</f>
        <v>291635.04</v>
      </c>
    </row>
    <row r="7" customFormat="false" ht="15" hidden="false" customHeight="false" outlineLevel="0" collapsed="false">
      <c r="A7" s="5" t="s">
        <v>142</v>
      </c>
      <c r="B7" s="17" t="n">
        <v>27655.02</v>
      </c>
      <c r="C7" s="17" t="n">
        <v>33031.76</v>
      </c>
    </row>
    <row r="8" customFormat="false" ht="15" hidden="false" customHeight="false" outlineLevel="0" collapsed="false">
      <c r="A8" s="5" t="s">
        <v>143</v>
      </c>
      <c r="B8" s="17" t="n">
        <v>63526.44</v>
      </c>
      <c r="C8" s="17" t="n">
        <v>63388.65</v>
      </c>
    </row>
    <row r="9" customFormat="false" ht="15" hidden="false" customHeight="false" outlineLevel="0" collapsed="false">
      <c r="A9" s="5" t="s">
        <v>144</v>
      </c>
      <c r="B9" s="17" t="n">
        <v>1402.14</v>
      </c>
      <c r="C9" s="17" t="n">
        <v>1262.3</v>
      </c>
    </row>
    <row r="10" customFormat="false" ht="15" hidden="false" customHeight="false" outlineLevel="0" collapsed="false">
      <c r="A10" s="5" t="s">
        <v>145</v>
      </c>
      <c r="B10" s="17" t="n">
        <v>4393.39</v>
      </c>
      <c r="C10" s="17" t="n">
        <v>4171.98</v>
      </c>
    </row>
    <row r="11" customFormat="false" ht="15" hidden="false" customHeight="false" outlineLevel="0" collapsed="false">
      <c r="A11" s="5" t="s">
        <v>146</v>
      </c>
      <c r="B11" s="17" t="n">
        <v>40570.92</v>
      </c>
      <c r="C11" s="17" t="n">
        <v>49446.73</v>
      </c>
    </row>
    <row r="12" customFormat="false" ht="15" hidden="false" customHeight="false" outlineLevel="0" collapsed="false">
      <c r="A12" s="5" t="s">
        <v>147</v>
      </c>
      <c r="B12" s="17" t="n">
        <v>-410.79</v>
      </c>
      <c r="C12" s="17" t="n">
        <v>-1963.12</v>
      </c>
    </row>
    <row r="13" customFormat="false" ht="15" hidden="false" customHeight="false" outlineLevel="0" collapsed="false">
      <c r="A13" s="5" t="s">
        <v>148</v>
      </c>
      <c r="B13" s="17" t="n">
        <v>27533.55</v>
      </c>
      <c r="C13" s="17" t="n">
        <v>36502.91</v>
      </c>
    </row>
    <row r="14" customFormat="false" ht="15" hidden="false" customHeight="false" outlineLevel="0" collapsed="false">
      <c r="A14" s="13" t="s">
        <v>149</v>
      </c>
      <c r="B14" s="23" t="n">
        <f aca="false">SUM(B7:B13)</f>
        <v>164670.67</v>
      </c>
      <c r="C14" s="23" t="n">
        <f aca="false">SUM(C7:C13)</f>
        <v>185841.21</v>
      </c>
    </row>
    <row r="15" customFormat="false" ht="15" hidden="false" customHeight="false" outlineLevel="0" collapsed="false">
      <c r="A15" s="5" t="s">
        <v>150</v>
      </c>
      <c r="B15" s="17" t="n">
        <v>6302.23</v>
      </c>
      <c r="C15" s="17" t="n">
        <v>6995.34</v>
      </c>
    </row>
    <row r="16" customFormat="false" ht="15" hidden="false" customHeight="false" outlineLevel="0" collapsed="false">
      <c r="A16" s="5" t="s">
        <v>151</v>
      </c>
      <c r="B16" s="17" t="n">
        <v>46768.68</v>
      </c>
      <c r="C16" s="17" t="n">
        <v>52187.22</v>
      </c>
    </row>
    <row r="17" customFormat="false" ht="15" hidden="false" customHeight="false" outlineLevel="0" collapsed="false">
      <c r="A17" s="5" t="s">
        <v>152</v>
      </c>
      <c r="B17" s="17" t="n">
        <v>11558.13</v>
      </c>
      <c r="C17" s="17" t="n">
        <v>11699.45</v>
      </c>
    </row>
    <row r="18" customFormat="false" ht="15" hidden="false" customHeight="false" outlineLevel="0" collapsed="false">
      <c r="A18" s="13" t="s">
        <v>153</v>
      </c>
      <c r="B18" s="23" t="n">
        <f aca="false">B4-B14-B15-B16-B17</f>
        <v>26434.74</v>
      </c>
      <c r="C18" s="23" t="n">
        <f aca="false">C4-C14-C15-C16-C17</f>
        <v>29151.14</v>
      </c>
    </row>
    <row r="19" customFormat="false" ht="15" hidden="false" customHeight="false" outlineLevel="0" collapsed="false">
      <c r="A19" s="5" t="s">
        <v>154</v>
      </c>
      <c r="B19" s="8" t="n">
        <f aca="false">B18/B4</f>
        <v>0.103367927160381</v>
      </c>
      <c r="C19" s="8" t="n">
        <f aca="false">C18/C4</f>
        <v>0.101971859246139</v>
      </c>
    </row>
    <row r="20" customFormat="false" ht="15" hidden="false" customHeight="false" outlineLevel="0" collapsed="false">
      <c r="A20" s="5" t="s">
        <v>155</v>
      </c>
      <c r="B20" s="17" t="n">
        <v>4121.18</v>
      </c>
      <c r="C20" s="17" t="n">
        <v>4364.75</v>
      </c>
    </row>
    <row r="21" customFormat="false" ht="15" hidden="false" customHeight="false" outlineLevel="0" collapsed="false">
      <c r="A21" s="5" t="s">
        <v>156</v>
      </c>
      <c r="B21" s="17" t="n">
        <v>3334.37</v>
      </c>
      <c r="C21" s="17" t="n">
        <v>2848.82</v>
      </c>
    </row>
    <row r="22" customFormat="false" ht="15" hidden="false" customHeight="false" outlineLevel="0" collapsed="false">
      <c r="A22" s="13" t="s">
        <v>157</v>
      </c>
      <c r="B22" s="23" t="n">
        <f aca="false">B18+B5-B20-B21</f>
        <v>23104.01</v>
      </c>
      <c r="C22" s="23" t="n">
        <f aca="false">C18+C5-C20-C21</f>
        <v>27698.25</v>
      </c>
    </row>
    <row r="23" customFormat="false" ht="15" hidden="false" customHeight="false" outlineLevel="0" collapsed="false">
      <c r="A23" s="5" t="s">
        <v>158</v>
      </c>
      <c r="B23" s="17" t="n">
        <v>474.78</v>
      </c>
      <c r="C23" s="17" t="n">
        <v>-1722.44</v>
      </c>
    </row>
    <row r="24" customFormat="false" ht="15" hidden="false" customHeight="false" outlineLevel="0" collapsed="false">
      <c r="A24" s="13" t="s">
        <v>159</v>
      </c>
      <c r="B24" s="23" t="n">
        <f aca="false">B22+B23</f>
        <v>23578.79</v>
      </c>
      <c r="C24" s="23" t="n">
        <f aca="false">C22+C23</f>
        <v>25975.81</v>
      </c>
    </row>
    <row r="25" customFormat="false" ht="15" hidden="false" customHeight="false" outlineLevel="0" collapsed="false">
      <c r="A25" s="5" t="s">
        <v>160</v>
      </c>
      <c r="B25" s="17" t="n">
        <v>6100.82</v>
      </c>
      <c r="C25" s="17" t="n">
        <v>6752.96</v>
      </c>
    </row>
    <row r="26" customFormat="false" ht="15" hidden="false" customHeight="false" outlineLevel="0" collapsed="false">
      <c r="A26" s="5" t="s">
        <v>161</v>
      </c>
      <c r="B26" s="17" t="n">
        <v>-209.42</v>
      </c>
      <c r="C26" s="17" t="n">
        <v>63.45</v>
      </c>
    </row>
    <row r="27" customFormat="false" ht="15" hidden="false" customHeight="false" outlineLevel="0" collapsed="false">
      <c r="A27" s="13" t="s">
        <v>162</v>
      </c>
      <c r="B27" s="23" t="n">
        <f aca="false">B25+B26</f>
        <v>5891.4</v>
      </c>
      <c r="C27" s="23" t="n">
        <f aca="false">C25+C26</f>
        <v>6816.41</v>
      </c>
    </row>
    <row r="28" customFormat="false" ht="15" hidden="false" customHeight="false" outlineLevel="0" collapsed="false">
      <c r="A28" s="13" t="s">
        <v>163</v>
      </c>
      <c r="B28" s="23" t="n">
        <f aca="false">B24-B27</f>
        <v>17687.39</v>
      </c>
      <c r="C28" s="23" t="n">
        <f aca="false">C24-C27</f>
        <v>19159.4</v>
      </c>
    </row>
    <row r="29" customFormat="false" ht="15" hidden="false" customHeight="false" outlineLevel="0" collapsed="false">
      <c r="A29" s="5" t="s">
        <v>164</v>
      </c>
      <c r="B29" s="17" t="n">
        <v>-14.06</v>
      </c>
      <c r="C29" s="17" t="n">
        <v>-205.52</v>
      </c>
    </row>
    <row r="30" customFormat="false" ht="15" hidden="false" customHeight="false" outlineLevel="0" collapsed="false">
      <c r="A30" s="13" t="s">
        <v>165</v>
      </c>
      <c r="B30" s="23" t="n">
        <f aca="false">B28+B29</f>
        <v>17673.33</v>
      </c>
      <c r="C30" s="23" t="n">
        <f aca="false">C28+C29</f>
        <v>18953.88</v>
      </c>
    </row>
    <row r="31" customFormat="false" ht="15" hidden="false" customHeight="false" outlineLevel="0" collapsed="false">
      <c r="A31" s="5" t="s">
        <v>166</v>
      </c>
      <c r="B31" s="17" t="n">
        <v>2636.22</v>
      </c>
      <c r="C31" s="17" t="n">
        <v>2869.89</v>
      </c>
    </row>
    <row r="32" customFormat="false" ht="15" hidden="false" customHeight="false" outlineLevel="0" collapsed="false">
      <c r="A32" s="13" t="s">
        <v>167</v>
      </c>
      <c r="B32" s="23" t="n">
        <f aca="false">B30-B31</f>
        <v>15037.11</v>
      </c>
      <c r="C32" s="23" t="n">
        <f aca="false">C30-C31</f>
        <v>16083.99</v>
      </c>
    </row>
    <row r="33" customFormat="false" ht="15" hidden="false" customHeight="false" outlineLevel="0" collapsed="false">
      <c r="A33" s="5" t="s">
        <v>168</v>
      </c>
      <c r="B33" s="8" t="n">
        <f aca="false">B27/B22</f>
        <v>0.25499469572598</v>
      </c>
      <c r="C33" s="8" t="n">
        <f aca="false">C27/C22</f>
        <v>0.24609533093246</v>
      </c>
    </row>
    <row r="34" customFormat="false" ht="15" hidden="false" customHeight="false" outlineLevel="0" collapsed="false">
      <c r="A34" s="5" t="s">
        <v>169</v>
      </c>
      <c r="B34" s="24" t="n">
        <f aca="false">B32/'Assumptions &amp; Drivers'!$B$9</f>
        <v>109.309126594701</v>
      </c>
      <c r="C34" s="24" t="n">
        <f aca="false">C32/'Assumptions &amp; Drivers'!$B$9</f>
        <v>116.919201831861</v>
      </c>
    </row>
    <row r="35" customFormat="false" ht="15" hidden="false" customHeight="false" outlineLevel="0" collapsed="false">
      <c r="A35" s="5" t="s">
        <v>170</v>
      </c>
      <c r="B35" s="25" t="n">
        <v>109.36</v>
      </c>
      <c r="C35" s="25" t="n">
        <v>116.93</v>
      </c>
    </row>
    <row r="36" customFormat="false" ht="15" hidden="false" customHeight="false" outlineLevel="0" collapsed="false">
      <c r="A36" s="5" t="s">
        <v>171</v>
      </c>
      <c r="B36" s="17" t="n">
        <v>23578.79</v>
      </c>
      <c r="C36" s="17" t="n">
        <v>25975.81</v>
      </c>
    </row>
    <row r="37" customFormat="false" ht="15" hidden="false" customHeight="false" outlineLevel="0" collapsed="false">
      <c r="A37" s="5" t="s">
        <v>172</v>
      </c>
      <c r="B37" s="20" t="n">
        <f aca="false">ROUND(B24-B36,2)</f>
        <v>0</v>
      </c>
      <c r="C37" s="20" t="n">
        <f aca="false">ROUND(C24-C36,2)</f>
        <v>0</v>
      </c>
    </row>
    <row r="39" customFormat="false" ht="15" hidden="false" customHeight="false" outlineLevel="0" collapsed="false">
      <c r="A39" s="12" t="s">
        <v>173</v>
      </c>
    </row>
    <row r="40" customFormat="false" ht="15" hidden="false" customHeight="false" outlineLevel="0" collapsed="false">
      <c r="A40" s="3" t="s">
        <v>137</v>
      </c>
      <c r="B40" s="4" t="s">
        <v>174</v>
      </c>
      <c r="C40" s="4" t="s">
        <v>175</v>
      </c>
      <c r="D40" s="4" t="s">
        <v>176</v>
      </c>
      <c r="E40" s="4" t="s">
        <v>177</v>
      </c>
      <c r="F40" s="4" t="s">
        <v>178</v>
      </c>
      <c r="G40" s="4" t="s">
        <v>179</v>
      </c>
    </row>
    <row r="41" customFormat="false" ht="15" hidden="false" customHeight="false" outlineLevel="0" collapsed="false">
      <c r="A41" s="5" t="s">
        <v>139</v>
      </c>
      <c r="B41" s="17" t="n">
        <v>156521.23</v>
      </c>
      <c r="C41" s="17" t="n">
        <v>183340.7</v>
      </c>
      <c r="D41" s="17" t="n">
        <v>221112.89</v>
      </c>
      <c r="E41" s="17" t="n">
        <v>255734.45</v>
      </c>
      <c r="F41" s="17" t="n">
        <v>285874.36</v>
      </c>
      <c r="G41" s="8" t="n">
        <f aca="false">(F41/B41)^(1/4)-1</f>
        <v>0.162520147447629</v>
      </c>
    </row>
    <row r="42" customFormat="false" ht="15" hidden="false" customHeight="false" outlineLevel="0" collapsed="false">
      <c r="A42" s="5" t="s">
        <v>159</v>
      </c>
      <c r="B42" s="17" t="n">
        <v>14494.97</v>
      </c>
      <c r="C42" s="17" t="n">
        <v>17109.03</v>
      </c>
      <c r="D42" s="17" t="n">
        <v>20517.11</v>
      </c>
      <c r="E42" s="17" t="n">
        <v>23578.79</v>
      </c>
      <c r="F42" s="17" t="n">
        <v>25975.81</v>
      </c>
      <c r="G42" s="8" t="n">
        <f aca="false">(F42/B42)^(1/4)-1</f>
        <v>0.157012216477866</v>
      </c>
    </row>
    <row r="43" customFormat="false" ht="15" hidden="false" customHeight="false" outlineLevel="0" collapsed="false">
      <c r="A43" s="5" t="s">
        <v>180</v>
      </c>
      <c r="B43" s="17" t="n">
        <v>8669.33</v>
      </c>
      <c r="C43" s="17" t="n">
        <v>10470.72</v>
      </c>
      <c r="D43" s="17" t="n">
        <v>13059.11</v>
      </c>
      <c r="E43" s="17" t="n">
        <v>15037.11</v>
      </c>
      <c r="F43" s="17" t="n">
        <v>16083.99</v>
      </c>
      <c r="G43" s="8" t="n">
        <f aca="false">(F43/B43)^(1/4)-1</f>
        <v>0.167083864871731</v>
      </c>
    </row>
    <row r="44" customFormat="false" ht="15" hidden="false" customHeight="false" outlineLevel="0" collapsed="false">
      <c r="A44" s="5" t="s">
        <v>181</v>
      </c>
      <c r="B44" s="17" t="n">
        <v>2947.95</v>
      </c>
      <c r="C44" s="17" t="n">
        <v>3502.25</v>
      </c>
      <c r="D44" s="17" t="n">
        <v>3682.33</v>
      </c>
      <c r="E44" s="17" t="n">
        <v>4121.18</v>
      </c>
      <c r="F44" s="17" t="n">
        <v>4364.75</v>
      </c>
      <c r="G44" s="8" t="n">
        <f aca="false">(F44/B44)^(1/4)-1</f>
        <v>0.10308712369309</v>
      </c>
    </row>
    <row r="45" customFormat="false" ht="15" hidden="false" customHeight="false" outlineLevel="0" collapsed="false">
      <c r="A45" s="5" t="s">
        <v>182</v>
      </c>
      <c r="B45" s="8" t="n">
        <f aca="false">B43/B41</f>
        <v>0.0553875662745559</v>
      </c>
      <c r="C45" s="8" t="n">
        <f aca="false">C43/C41</f>
        <v>0.0571107233691155</v>
      </c>
      <c r="D45" s="8" t="n">
        <f aca="false">D43/D41</f>
        <v>0.0590608263498342</v>
      </c>
      <c r="E45" s="8" t="n">
        <f aca="false">E43/E41</f>
        <v>0.0587997041462345</v>
      </c>
      <c r="F45" s="8" t="n">
        <f aca="false">F43/F41</f>
        <v>0.0562624434034588</v>
      </c>
    </row>
    <row r="46" customFormat="false" ht="15" hidden="false" customHeight="false" outlineLevel="0" collapsed="false">
      <c r="A46" s="2" t="s">
        <v>183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C7430"/>
    <pageSetUpPr fitToPage="false"/>
  </sheetPr>
  <dimension ref="A1:C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2"/>
    <col collapsed="false" customWidth="true" hidden="false" outlineLevel="0" max="3" min="2" style="0" width="16"/>
  </cols>
  <sheetData>
    <row r="1" customFormat="false" ht="17.35" hidden="false" customHeight="false" outlineLevel="0" collapsed="false">
      <c r="A1" s="1" t="s">
        <v>184</v>
      </c>
    </row>
    <row r="2" customFormat="false" ht="15" hidden="false" customHeight="false" outlineLevel="0" collapsed="false">
      <c r="A2" s="2" t="s">
        <v>185</v>
      </c>
    </row>
    <row r="3" customFormat="false" ht="15" hidden="false" customHeight="false" outlineLevel="0" collapsed="false">
      <c r="A3" s="3" t="s">
        <v>137</v>
      </c>
      <c r="B3" s="4" t="s">
        <v>186</v>
      </c>
      <c r="C3" s="4" t="s">
        <v>187</v>
      </c>
    </row>
    <row r="4" customFormat="false" ht="15" hidden="false" customHeight="false" outlineLevel="0" collapsed="false">
      <c r="A4" s="12" t="s">
        <v>188</v>
      </c>
    </row>
    <row r="5" customFormat="false" ht="15" hidden="false" customHeight="false" outlineLevel="0" collapsed="false">
      <c r="A5" s="5" t="s">
        <v>189</v>
      </c>
      <c r="B5" s="17" t="n">
        <v>14128.56</v>
      </c>
      <c r="C5" s="17" t="n">
        <v>15663.02</v>
      </c>
    </row>
    <row r="6" customFormat="false" ht="15" hidden="false" customHeight="false" outlineLevel="0" collapsed="false">
      <c r="A6" s="5" t="s">
        <v>190</v>
      </c>
      <c r="B6" s="17" t="n">
        <v>2390.86</v>
      </c>
      <c r="C6" s="17" t="n">
        <v>3036.25</v>
      </c>
    </row>
    <row r="7" customFormat="false" ht="15" hidden="false" customHeight="false" outlineLevel="0" collapsed="false">
      <c r="A7" s="5" t="s">
        <v>191</v>
      </c>
      <c r="B7" s="17" t="n">
        <v>1157.33</v>
      </c>
      <c r="C7" s="17" t="n">
        <v>223.22</v>
      </c>
    </row>
    <row r="8" customFormat="false" ht="15" hidden="false" customHeight="false" outlineLevel="0" collapsed="false">
      <c r="A8" s="5" t="s">
        <v>192</v>
      </c>
      <c r="B8" s="17" t="n">
        <v>501.3</v>
      </c>
      <c r="C8" s="17" t="n">
        <v>897.12</v>
      </c>
    </row>
    <row r="9" customFormat="false" ht="15" hidden="false" customHeight="false" outlineLevel="0" collapsed="false">
      <c r="A9" s="5" t="s">
        <v>193</v>
      </c>
      <c r="B9" s="17" t="n">
        <v>8348.48</v>
      </c>
      <c r="C9" s="17" t="n">
        <v>8481.54</v>
      </c>
    </row>
    <row r="10" customFormat="false" ht="15" hidden="false" customHeight="false" outlineLevel="0" collapsed="false">
      <c r="A10" s="5" t="s">
        <v>194</v>
      </c>
      <c r="B10" s="17" t="n">
        <v>17050.76</v>
      </c>
      <c r="C10" s="17" t="n">
        <v>1828.21</v>
      </c>
    </row>
    <row r="11" customFormat="false" ht="15" hidden="false" customHeight="false" outlineLevel="0" collapsed="false">
      <c r="A11" s="5" t="s">
        <v>195</v>
      </c>
      <c r="B11" s="17" t="n">
        <v>197.82</v>
      </c>
      <c r="C11" s="17" t="n">
        <v>274.7</v>
      </c>
    </row>
    <row r="12" customFormat="false" ht="15" hidden="false" customHeight="false" outlineLevel="0" collapsed="false">
      <c r="A12" s="5" t="s">
        <v>196</v>
      </c>
      <c r="B12" s="17" t="n">
        <v>2869.02</v>
      </c>
      <c r="C12" s="17" t="n">
        <v>3773.8</v>
      </c>
    </row>
    <row r="13" customFormat="false" ht="15" hidden="false" customHeight="false" outlineLevel="0" collapsed="false">
      <c r="A13" s="5" t="s">
        <v>197</v>
      </c>
      <c r="B13" s="17" t="n">
        <v>2318.42</v>
      </c>
      <c r="C13" s="17" t="n">
        <v>2258.01</v>
      </c>
    </row>
    <row r="14" customFormat="false" ht="15" hidden="false" customHeight="false" outlineLevel="0" collapsed="false">
      <c r="A14" s="5" t="s">
        <v>198</v>
      </c>
      <c r="B14" s="17" t="n">
        <v>9126.23</v>
      </c>
      <c r="C14" s="17" t="n">
        <v>6593.92</v>
      </c>
    </row>
    <row r="15" customFormat="false" ht="15" hidden="false" customHeight="false" outlineLevel="0" collapsed="false">
      <c r="A15" s="5" t="s">
        <v>199</v>
      </c>
      <c r="B15" s="17" t="n">
        <v>62847.35</v>
      </c>
      <c r="C15" s="17" t="n">
        <v>74995.72</v>
      </c>
    </row>
    <row r="16" customFormat="false" ht="15" hidden="false" customHeight="false" outlineLevel="0" collapsed="false">
      <c r="A16" s="5" t="s">
        <v>200</v>
      </c>
      <c r="B16" s="17" t="n">
        <v>348.96</v>
      </c>
      <c r="C16" s="17" t="n">
        <v>586.81</v>
      </c>
    </row>
    <row r="17" customFormat="false" ht="15" hidden="false" customHeight="false" outlineLevel="0" collapsed="false">
      <c r="A17" s="5" t="s">
        <v>201</v>
      </c>
      <c r="B17" s="17" t="n">
        <v>1863.04</v>
      </c>
      <c r="C17" s="17" t="n">
        <v>4276.78</v>
      </c>
    </row>
    <row r="18" customFormat="false" ht="15" hidden="false" customHeight="false" outlineLevel="0" collapsed="false">
      <c r="A18" s="5" t="s">
        <v>202</v>
      </c>
      <c r="B18" s="17" t="n">
        <v>3792.88</v>
      </c>
      <c r="C18" s="17" t="n">
        <v>4252.76</v>
      </c>
    </row>
    <row r="19" customFormat="false" ht="15" hidden="false" customHeight="false" outlineLevel="0" collapsed="false">
      <c r="A19" s="5" t="s">
        <v>203</v>
      </c>
      <c r="B19" s="17" t="n">
        <v>4581.6</v>
      </c>
      <c r="C19" s="17" t="n">
        <v>4397.21</v>
      </c>
    </row>
    <row r="20" customFormat="false" ht="15" hidden="false" customHeight="false" outlineLevel="0" collapsed="false">
      <c r="A20" s="5" t="s">
        <v>204</v>
      </c>
      <c r="B20" s="17" t="n">
        <v>2659.78</v>
      </c>
      <c r="C20" s="17" t="n">
        <v>2699.49</v>
      </c>
    </row>
    <row r="21" customFormat="false" ht="15" hidden="false" customHeight="false" outlineLevel="0" collapsed="false">
      <c r="A21" s="13" t="s">
        <v>205</v>
      </c>
      <c r="B21" s="23" t="n">
        <f aca="false">SUM(B5:B20)</f>
        <v>134182.39</v>
      </c>
      <c r="C21" s="23" t="n">
        <f aca="false">SUM(C5:C20)</f>
        <v>134238.56</v>
      </c>
    </row>
    <row r="22" customFormat="false" ht="15" hidden="false" customHeight="false" outlineLevel="0" collapsed="false">
      <c r="A22" s="5" t="s">
        <v>206</v>
      </c>
      <c r="B22" s="17" t="n">
        <v>7670.55</v>
      </c>
      <c r="C22" s="17" t="n">
        <v>9530.93</v>
      </c>
    </row>
    <row r="23" customFormat="false" ht="15" hidden="false" customHeight="false" outlineLevel="0" collapsed="false">
      <c r="A23" s="5" t="s">
        <v>207</v>
      </c>
      <c r="B23" s="17" t="n">
        <v>43360.62</v>
      </c>
      <c r="C23" s="17" t="n">
        <v>59524.86</v>
      </c>
    </row>
    <row r="24" customFormat="false" ht="15" hidden="false" customHeight="false" outlineLevel="0" collapsed="false">
      <c r="A24" s="5" t="s">
        <v>208</v>
      </c>
      <c r="B24" s="17" t="n">
        <v>53713.68</v>
      </c>
      <c r="C24" s="17" t="n">
        <v>60461.26</v>
      </c>
    </row>
    <row r="25" customFormat="false" ht="15" hidden="false" customHeight="false" outlineLevel="0" collapsed="false">
      <c r="A25" s="5" t="s">
        <v>209</v>
      </c>
      <c r="B25" s="17" t="n">
        <v>12187</v>
      </c>
      <c r="C25" s="17" t="n">
        <v>15391.24</v>
      </c>
    </row>
    <row r="26" customFormat="false" ht="15" hidden="false" customHeight="false" outlineLevel="0" collapsed="false">
      <c r="A26" s="5" t="s">
        <v>210</v>
      </c>
      <c r="B26" s="17" t="n">
        <v>10778.34</v>
      </c>
      <c r="C26" s="17" t="n">
        <v>5456.43</v>
      </c>
    </row>
    <row r="27" customFormat="false" ht="15" hidden="false" customHeight="false" outlineLevel="0" collapsed="false">
      <c r="A27" s="5" t="s">
        <v>211</v>
      </c>
      <c r="B27" s="17" t="n">
        <v>36077.51</v>
      </c>
      <c r="C27" s="17" t="n">
        <v>42825.48</v>
      </c>
    </row>
    <row r="28" customFormat="false" ht="15" hidden="false" customHeight="false" outlineLevel="0" collapsed="false">
      <c r="A28" s="5" t="s">
        <v>200</v>
      </c>
      <c r="B28" s="17" t="n">
        <v>416.85</v>
      </c>
      <c r="C28" s="17" t="n">
        <v>634.46</v>
      </c>
    </row>
    <row r="29" customFormat="false" ht="15" hidden="false" customHeight="false" outlineLevel="0" collapsed="false">
      <c r="A29" s="5" t="s">
        <v>201</v>
      </c>
      <c r="B29" s="17" t="n">
        <v>5419.89</v>
      </c>
      <c r="C29" s="17" t="n">
        <v>7713.29</v>
      </c>
    </row>
    <row r="30" customFormat="false" ht="15" hidden="false" customHeight="false" outlineLevel="0" collapsed="false">
      <c r="A30" s="5" t="s">
        <v>212</v>
      </c>
      <c r="B30" s="17" t="n">
        <v>75559.83</v>
      </c>
      <c r="C30" s="17" t="n">
        <v>91303.18</v>
      </c>
    </row>
    <row r="31" customFormat="false" ht="15" hidden="false" customHeight="false" outlineLevel="0" collapsed="false">
      <c r="A31" s="13" t="s">
        <v>213</v>
      </c>
      <c r="B31" s="23" t="n">
        <f aca="false">SUM(B22:B30)</f>
        <v>245184.27</v>
      </c>
      <c r="C31" s="23" t="n">
        <f aca="false">SUM(C22:C30)</f>
        <v>292841.13</v>
      </c>
    </row>
    <row r="32" customFormat="false" ht="15" hidden="false" customHeight="false" outlineLevel="0" collapsed="false">
      <c r="A32" s="5" t="s">
        <v>214</v>
      </c>
      <c r="B32" s="17" t="n">
        <v>157.44</v>
      </c>
      <c r="C32" s="17" t="n">
        <v>25470.19</v>
      </c>
    </row>
    <row r="33" customFormat="false" ht="15" hidden="false" customHeight="false" outlineLevel="0" collapsed="false">
      <c r="A33" s="13" t="s">
        <v>215</v>
      </c>
      <c r="B33" s="23" t="n">
        <f aca="false">B21+B31+B32</f>
        <v>379524.1</v>
      </c>
      <c r="C33" s="23" t="n">
        <f aca="false">C21+C31+C32</f>
        <v>452549.88</v>
      </c>
    </row>
    <row r="34" customFormat="false" ht="15" hidden="false" customHeight="false" outlineLevel="0" collapsed="false">
      <c r="A34" s="12" t="s">
        <v>216</v>
      </c>
    </row>
    <row r="35" customFormat="false" ht="15" hidden="false" customHeight="false" outlineLevel="0" collapsed="false">
      <c r="A35" s="5" t="s">
        <v>217</v>
      </c>
      <c r="B35" s="17" t="n">
        <v>275.04</v>
      </c>
      <c r="C35" s="17" t="n">
        <v>275.13</v>
      </c>
    </row>
    <row r="36" customFormat="false" ht="15" hidden="false" customHeight="false" outlineLevel="0" collapsed="false">
      <c r="A36" s="5" t="s">
        <v>218</v>
      </c>
      <c r="B36" s="17" t="n">
        <v>97380.56</v>
      </c>
      <c r="C36" s="17" t="n">
        <v>109014.67</v>
      </c>
    </row>
    <row r="37" customFormat="false" ht="15" hidden="false" customHeight="false" outlineLevel="0" collapsed="false">
      <c r="A37" s="13" t="s">
        <v>219</v>
      </c>
      <c r="B37" s="23" t="n">
        <f aca="false">B35+B36</f>
        <v>97655.6</v>
      </c>
      <c r="C37" s="23" t="n">
        <f aca="false">C35+C36</f>
        <v>109289.8</v>
      </c>
    </row>
    <row r="38" customFormat="false" ht="15" hidden="false" customHeight="false" outlineLevel="0" collapsed="false">
      <c r="A38" s="5" t="s">
        <v>220</v>
      </c>
      <c r="B38" s="17" t="n">
        <v>17748.08</v>
      </c>
      <c r="C38" s="17" t="n">
        <v>19240.66</v>
      </c>
    </row>
    <row r="39" customFormat="false" ht="15" hidden="false" customHeight="false" outlineLevel="0" collapsed="false">
      <c r="A39" s="13" t="s">
        <v>221</v>
      </c>
      <c r="B39" s="23" t="n">
        <f aca="false">B37+B38</f>
        <v>115403.68</v>
      </c>
      <c r="C39" s="23" t="n">
        <f aca="false">C37+C38</f>
        <v>128530.46</v>
      </c>
    </row>
    <row r="40" customFormat="false" ht="15" hidden="false" customHeight="false" outlineLevel="0" collapsed="false">
      <c r="A40" s="5" t="s">
        <v>222</v>
      </c>
      <c r="B40" s="17" t="n">
        <v>57503.34</v>
      </c>
      <c r="C40" s="17" t="n">
        <v>63738.59</v>
      </c>
    </row>
    <row r="41" customFormat="false" ht="15" hidden="false" customHeight="false" outlineLevel="0" collapsed="false">
      <c r="A41" s="5" t="s">
        <v>223</v>
      </c>
      <c r="B41" s="17" t="n">
        <v>2265.24</v>
      </c>
      <c r="C41" s="17" t="n">
        <v>2767.05</v>
      </c>
    </row>
    <row r="42" customFormat="false" ht="15" hidden="false" customHeight="false" outlineLevel="0" collapsed="false">
      <c r="A42" s="5" t="s">
        <v>224</v>
      </c>
      <c r="B42" s="17" t="n">
        <v>252.18</v>
      </c>
      <c r="C42" s="17" t="n">
        <v>1979.86</v>
      </c>
    </row>
    <row r="43" customFormat="false" ht="15" hidden="false" customHeight="false" outlineLevel="0" collapsed="false">
      <c r="A43" s="5" t="s">
        <v>225</v>
      </c>
      <c r="B43" s="17" t="n">
        <v>1124.01</v>
      </c>
      <c r="C43" s="17" t="n">
        <v>832.48</v>
      </c>
    </row>
    <row r="44" customFormat="false" ht="15" hidden="false" customHeight="false" outlineLevel="0" collapsed="false">
      <c r="A44" s="5" t="s">
        <v>226</v>
      </c>
      <c r="B44" s="17" t="n">
        <v>410.01</v>
      </c>
      <c r="C44" s="17" t="n">
        <v>167.11</v>
      </c>
    </row>
    <row r="45" customFormat="false" ht="15" hidden="false" customHeight="false" outlineLevel="0" collapsed="false">
      <c r="A45" s="5" t="s">
        <v>227</v>
      </c>
      <c r="B45" s="17" t="n">
        <v>594.74</v>
      </c>
      <c r="C45" s="17" t="n">
        <v>36.82</v>
      </c>
    </row>
    <row r="46" customFormat="false" ht="15" hidden="false" customHeight="false" outlineLevel="0" collapsed="false">
      <c r="A46" s="13" t="s">
        <v>228</v>
      </c>
      <c r="B46" s="23" t="n">
        <f aca="false">SUM(B40:B45)</f>
        <v>62149.52</v>
      </c>
      <c r="C46" s="23" t="n">
        <f aca="false">SUM(C40:C45)</f>
        <v>69521.91</v>
      </c>
    </row>
    <row r="47" customFormat="false" ht="15" hidden="false" customHeight="false" outlineLevel="0" collapsed="false">
      <c r="A47" s="5" t="s">
        <v>229</v>
      </c>
      <c r="B47" s="17" t="n">
        <v>35861.3</v>
      </c>
      <c r="C47" s="17" t="n">
        <v>34778.53</v>
      </c>
    </row>
    <row r="48" customFormat="false" ht="15" hidden="false" customHeight="false" outlineLevel="0" collapsed="false">
      <c r="A48" s="5" t="s">
        <v>230</v>
      </c>
      <c r="B48" s="17" t="n">
        <v>36194.7</v>
      </c>
      <c r="C48" s="17" t="n">
        <v>23165.9</v>
      </c>
    </row>
    <row r="49" customFormat="false" ht="15" hidden="false" customHeight="false" outlineLevel="0" collapsed="false">
      <c r="A49" s="5" t="s">
        <v>231</v>
      </c>
      <c r="B49" s="17" t="n">
        <v>584.34</v>
      </c>
      <c r="C49" s="17" t="n">
        <v>1046.52</v>
      </c>
    </row>
    <row r="50" customFormat="false" ht="15" hidden="false" customHeight="false" outlineLevel="0" collapsed="false">
      <c r="A50" s="5" t="s">
        <v>232</v>
      </c>
      <c r="B50" s="17" t="n">
        <v>1414.23</v>
      </c>
      <c r="C50" s="17" t="n">
        <v>1840.35</v>
      </c>
    </row>
    <row r="51" customFormat="false" ht="15" hidden="false" customHeight="false" outlineLevel="0" collapsed="false">
      <c r="A51" s="5" t="s">
        <v>233</v>
      </c>
      <c r="B51" s="17" t="n">
        <v>51045.11</v>
      </c>
      <c r="C51" s="17" t="n">
        <v>67615.28</v>
      </c>
    </row>
    <row r="52" customFormat="false" ht="15" hidden="false" customHeight="false" outlineLevel="0" collapsed="false">
      <c r="A52" s="5" t="s">
        <v>234</v>
      </c>
      <c r="B52" s="17" t="n">
        <v>6273.37</v>
      </c>
      <c r="C52" s="17" t="n">
        <v>11092.88</v>
      </c>
    </row>
    <row r="53" customFormat="false" ht="15" hidden="false" customHeight="false" outlineLevel="0" collapsed="false">
      <c r="A53" s="5" t="s">
        <v>235</v>
      </c>
      <c r="B53" s="17" t="n">
        <v>63326.97</v>
      </c>
      <c r="C53" s="17" t="n">
        <v>85861.52</v>
      </c>
    </row>
    <row r="54" customFormat="false" ht="15" hidden="false" customHeight="false" outlineLevel="0" collapsed="false">
      <c r="A54" s="5" t="s">
        <v>236</v>
      </c>
      <c r="B54" s="17" t="n">
        <v>4691.67</v>
      </c>
      <c r="C54" s="17" t="n">
        <v>5009.03</v>
      </c>
    </row>
    <row r="55" customFormat="false" ht="15" hidden="false" customHeight="false" outlineLevel="0" collapsed="false">
      <c r="A55" s="5" t="s">
        <v>237</v>
      </c>
      <c r="B55" s="17" t="n">
        <v>2579.21</v>
      </c>
      <c r="C55" s="17" t="n">
        <v>3121.46</v>
      </c>
    </row>
    <row r="56" customFormat="false" ht="15" hidden="false" customHeight="false" outlineLevel="0" collapsed="false">
      <c r="A56" s="13" t="s">
        <v>238</v>
      </c>
      <c r="B56" s="23" t="n">
        <f aca="false">SUM(B47:B55)</f>
        <v>201970.9</v>
      </c>
      <c r="C56" s="23" t="n">
        <f aca="false">SUM(C47:C55)</f>
        <v>233531.47</v>
      </c>
    </row>
    <row r="57" customFormat="false" ht="15" hidden="false" customHeight="false" outlineLevel="0" collapsed="false">
      <c r="A57" s="5" t="s">
        <v>239</v>
      </c>
      <c r="B57" s="17" t="n">
        <v>0</v>
      </c>
      <c r="C57" s="17" t="n">
        <v>20966.04</v>
      </c>
    </row>
    <row r="58" customFormat="false" ht="15" hidden="false" customHeight="false" outlineLevel="0" collapsed="false">
      <c r="A58" s="13" t="s">
        <v>240</v>
      </c>
      <c r="B58" s="23" t="n">
        <f aca="false">B46+B56+B57</f>
        <v>264120.42</v>
      </c>
      <c r="C58" s="23" t="n">
        <f aca="false">C46+C56+C57</f>
        <v>324019.42</v>
      </c>
    </row>
    <row r="59" customFormat="false" ht="15" hidden="false" customHeight="false" outlineLevel="0" collapsed="false">
      <c r="A59" s="13" t="s">
        <v>241</v>
      </c>
      <c r="B59" s="23" t="n">
        <f aca="false">B39+B58</f>
        <v>379524.1</v>
      </c>
      <c r="C59" s="23" t="n">
        <f aca="false">C39+C58</f>
        <v>452549.88</v>
      </c>
    </row>
    <row r="60" customFormat="false" ht="15" hidden="false" customHeight="false" outlineLevel="0" collapsed="false">
      <c r="A60" s="5" t="s">
        <v>242</v>
      </c>
      <c r="B60" s="20" t="n">
        <f aca="false">ROUND(B33-B59,2)</f>
        <v>0</v>
      </c>
      <c r="C60" s="20" t="n">
        <f aca="false">ROUND(C33-C59,2)</f>
        <v>0</v>
      </c>
    </row>
    <row r="61" customFormat="false" ht="15" hidden="false" customHeight="false" outlineLevel="0" collapsed="false">
      <c r="A61" s="5" t="s">
        <v>243</v>
      </c>
      <c r="B61" s="17" t="n">
        <v>379524.1</v>
      </c>
      <c r="C61" s="17" t="n">
        <v>452549.88</v>
      </c>
    </row>
    <row r="62" customFormat="false" ht="15" hidden="false" customHeight="false" outlineLevel="0" collapsed="false">
      <c r="A62" s="5" t="s">
        <v>244</v>
      </c>
      <c r="B62" s="20" t="n">
        <f aca="false">ROUND(B33-B61,2)</f>
        <v>0</v>
      </c>
      <c r="C62" s="20" t="n">
        <f aca="false">ROUND(C33-C61,2)</f>
        <v>0</v>
      </c>
    </row>
    <row r="63" customFormat="false" ht="15" hidden="false" customHeight="false" outlineLevel="0" collapsed="false">
      <c r="A63" s="13" t="s">
        <v>245</v>
      </c>
      <c r="B63" s="23" t="n">
        <f aca="false">B40+B47+B48</f>
        <v>129559.34</v>
      </c>
      <c r="C63" s="23" t="n">
        <f aca="false">C40+C47+C48</f>
        <v>121683.02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C7430"/>
    <pageSetUpPr fitToPage="false"/>
  </sheetPr>
  <dimension ref="A1:C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6"/>
    <col collapsed="false" customWidth="true" hidden="false" outlineLevel="0" max="3" min="2" style="0" width="16"/>
  </cols>
  <sheetData>
    <row r="1" customFormat="false" ht="17.35" hidden="false" customHeight="false" outlineLevel="0" collapsed="false">
      <c r="A1" s="1" t="s">
        <v>246</v>
      </c>
    </row>
    <row r="2" customFormat="false" ht="15" hidden="false" customHeight="false" outlineLevel="0" collapsed="false">
      <c r="A2" s="2" t="s">
        <v>247</v>
      </c>
    </row>
    <row r="3" customFormat="false" ht="15" hidden="false" customHeight="false" outlineLevel="0" collapsed="false">
      <c r="A3" s="3" t="s">
        <v>137</v>
      </c>
      <c r="B3" s="4" t="s">
        <v>138</v>
      </c>
      <c r="C3" s="4" t="s">
        <v>118</v>
      </c>
    </row>
    <row r="4" customFormat="false" ht="15" hidden="false" customHeight="false" outlineLevel="0" collapsed="false">
      <c r="A4" s="5" t="s">
        <v>157</v>
      </c>
      <c r="B4" s="17" t="n">
        <v>23104.01</v>
      </c>
      <c r="C4" s="17" t="n">
        <v>27698.25</v>
      </c>
    </row>
    <row r="5" customFormat="false" ht="15" hidden="false" customHeight="false" outlineLevel="0" collapsed="false">
      <c r="A5" s="5" t="s">
        <v>248</v>
      </c>
      <c r="B5" s="17" t="n">
        <v>29981.1</v>
      </c>
      <c r="C5" s="17" t="n">
        <v>33229.73</v>
      </c>
    </row>
    <row r="6" customFormat="false" ht="15" hidden="false" customHeight="false" outlineLevel="0" collapsed="false">
      <c r="A6" s="5" t="s">
        <v>249</v>
      </c>
      <c r="B6" s="17" t="n">
        <v>-10316</v>
      </c>
      <c r="C6" s="17" t="n">
        <v>-28150.93</v>
      </c>
    </row>
    <row r="7" customFormat="false" ht="15" hidden="false" customHeight="false" outlineLevel="0" collapsed="false">
      <c r="A7" s="5" t="s">
        <v>250</v>
      </c>
      <c r="B7" s="17" t="n">
        <v>-539.52</v>
      </c>
      <c r="C7" s="17" t="n">
        <v>-2200.95</v>
      </c>
    </row>
    <row r="8" customFormat="false" ht="15" hidden="false" customHeight="false" outlineLevel="0" collapsed="false">
      <c r="A8" s="5" t="s">
        <v>251</v>
      </c>
      <c r="B8" s="17" t="n">
        <v>9835.07</v>
      </c>
      <c r="C8" s="17" t="n">
        <v>45127.59</v>
      </c>
    </row>
    <row r="9" customFormat="false" ht="15" hidden="false" customHeight="false" outlineLevel="0" collapsed="false">
      <c r="A9" s="5" t="s">
        <v>252</v>
      </c>
      <c r="B9" s="17" t="n">
        <v>-14208.2</v>
      </c>
      <c r="C9" s="17" t="n">
        <v>-25233.3</v>
      </c>
    </row>
    <row r="10" customFormat="false" ht="15" hidden="false" customHeight="false" outlineLevel="0" collapsed="false">
      <c r="A10" s="5" t="s">
        <v>253</v>
      </c>
      <c r="B10" s="17" t="n">
        <v>-5601.1</v>
      </c>
      <c r="C10" s="17" t="n">
        <v>-6031.17</v>
      </c>
    </row>
    <row r="11" customFormat="false" ht="15" hidden="false" customHeight="false" outlineLevel="0" collapsed="false">
      <c r="A11" s="13" t="s">
        <v>254</v>
      </c>
      <c r="B11" s="23" t="n">
        <f aca="false">B5+B6+B7+B8+B9+B10</f>
        <v>9151.35</v>
      </c>
      <c r="C11" s="23" t="n">
        <f aca="false">C5+C6+C7+C8+C9+C10</f>
        <v>16740.97</v>
      </c>
    </row>
    <row r="12" customFormat="false" ht="15" hidden="false" customHeight="false" outlineLevel="0" collapsed="false">
      <c r="A12" s="5" t="s">
        <v>255</v>
      </c>
      <c r="B12" s="17" t="n">
        <v>-4418.83</v>
      </c>
      <c r="C12" s="17" t="n">
        <v>-4809.19</v>
      </c>
    </row>
    <row r="13" customFormat="false" ht="15" hidden="false" customHeight="false" outlineLevel="0" collapsed="false">
      <c r="A13" s="5" t="s">
        <v>256</v>
      </c>
      <c r="B13" s="17" t="n">
        <v>-11089.32</v>
      </c>
      <c r="C13" s="17" t="n">
        <v>-6929.65</v>
      </c>
    </row>
    <row r="14" customFormat="false" ht="15" hidden="false" customHeight="false" outlineLevel="0" collapsed="false">
      <c r="A14" s="13" t="s">
        <v>257</v>
      </c>
      <c r="B14" s="23" t="n">
        <f aca="false">B12+B13</f>
        <v>-15508.15</v>
      </c>
      <c r="C14" s="23" t="n">
        <f aca="false">C12+C13</f>
        <v>-11738.84</v>
      </c>
    </row>
    <row r="15" customFormat="false" ht="15" hidden="false" customHeight="false" outlineLevel="0" collapsed="false">
      <c r="A15" s="5" t="s">
        <v>258</v>
      </c>
      <c r="B15" s="17" t="n">
        <v>-3849.57</v>
      </c>
      <c r="C15" s="17" t="n">
        <v>-4676.22</v>
      </c>
    </row>
    <row r="16" customFormat="false" ht="15" hidden="false" customHeight="false" outlineLevel="0" collapsed="false">
      <c r="A16" s="5" t="s">
        <v>259</v>
      </c>
      <c r="B16" s="17" t="n">
        <v>10406.19</v>
      </c>
      <c r="C16" s="17" t="n">
        <v>2519.79</v>
      </c>
    </row>
    <row r="17" customFormat="false" ht="15" hidden="false" customHeight="false" outlineLevel="0" collapsed="false">
      <c r="A17" s="13" t="s">
        <v>260</v>
      </c>
      <c r="B17" s="23" t="n">
        <f aca="false">B15+B16</f>
        <v>6556.62</v>
      </c>
      <c r="C17" s="23" t="n">
        <f aca="false">C15+C16</f>
        <v>-2156.43</v>
      </c>
    </row>
    <row r="18" customFormat="false" ht="15" hidden="false" customHeight="false" outlineLevel="0" collapsed="false">
      <c r="A18" s="13" t="s">
        <v>261</v>
      </c>
      <c r="B18" s="23" t="n">
        <f aca="false">B11+B14+B17</f>
        <v>199.819999999998</v>
      </c>
      <c r="C18" s="23" t="n">
        <f aca="false">C11+C14+C17</f>
        <v>2845.7</v>
      </c>
    </row>
    <row r="19" customFormat="false" ht="15" hidden="false" customHeight="false" outlineLevel="0" collapsed="false">
      <c r="A19" s="5" t="s">
        <v>262</v>
      </c>
      <c r="B19" s="17" t="n">
        <v>11958.5</v>
      </c>
      <c r="C19" s="17" t="n">
        <v>12187</v>
      </c>
    </row>
    <row r="20" customFormat="false" ht="15" hidden="false" customHeight="false" outlineLevel="0" collapsed="false">
      <c r="A20" s="5" t="s">
        <v>263</v>
      </c>
      <c r="B20" s="17" t="n">
        <v>28.68</v>
      </c>
      <c r="C20" s="17" t="n">
        <v>358.54</v>
      </c>
    </row>
    <row r="21" customFormat="false" ht="15" hidden="false" customHeight="false" outlineLevel="0" collapsed="false">
      <c r="A21" s="13" t="s">
        <v>264</v>
      </c>
      <c r="B21" s="23" t="n">
        <f aca="false">B19+B18+B20</f>
        <v>12187</v>
      </c>
      <c r="C21" s="23" t="n">
        <f aca="false">C19+C18+C20</f>
        <v>15391.24</v>
      </c>
    </row>
    <row r="22" customFormat="false" ht="15" hidden="false" customHeight="false" outlineLevel="0" collapsed="false">
      <c r="A22" s="5" t="s">
        <v>265</v>
      </c>
      <c r="B22" s="20" t="n">
        <f aca="false">ROUND(B21-'Balance Sheet'!B25,2)</f>
        <v>0</v>
      </c>
      <c r="C22" s="20" t="n">
        <f aca="false">ROUND(C21-'Balance Sheet'!C25,2)</f>
        <v>0</v>
      </c>
    </row>
    <row r="23" customFormat="false" ht="15" hidden="false" customHeight="false" outlineLevel="0" collapsed="false">
      <c r="A23" s="13" t="s">
        <v>266</v>
      </c>
      <c r="B23" s="23" t="n">
        <f aca="false">B11+B12</f>
        <v>4732.52</v>
      </c>
      <c r="C23" s="23" t="n">
        <f aca="false">C11+C12</f>
        <v>11931.78</v>
      </c>
    </row>
    <row r="25" customFormat="false" ht="15" hidden="false" customHeight="false" outlineLevel="0" collapsed="false">
      <c r="A25" s="2" t="s">
        <v>267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C7430"/>
    <pageSetUpPr fitToPage="false"/>
  </sheetPr>
  <dimension ref="A1:C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4"/>
    <col collapsed="false" customWidth="true" hidden="false" outlineLevel="0" max="3" min="2" style="0" width="16"/>
  </cols>
  <sheetData>
    <row r="1" customFormat="false" ht="17.35" hidden="false" customHeight="false" outlineLevel="0" collapsed="false">
      <c r="A1" s="1" t="s">
        <v>268</v>
      </c>
    </row>
    <row r="2" customFormat="false" ht="15" hidden="false" customHeight="false" outlineLevel="0" collapsed="false">
      <c r="A2" s="2" t="s">
        <v>269</v>
      </c>
    </row>
    <row r="3" customFormat="false" ht="15" hidden="false" customHeight="false" outlineLevel="0" collapsed="false">
      <c r="A3" s="3" t="s">
        <v>137</v>
      </c>
      <c r="B3" s="4" t="s">
        <v>138</v>
      </c>
      <c r="C3" s="4" t="s">
        <v>118</v>
      </c>
    </row>
    <row r="4" customFormat="false" ht="15" hidden="false" customHeight="false" outlineLevel="0" collapsed="false">
      <c r="A4" s="12" t="s">
        <v>270</v>
      </c>
    </row>
    <row r="5" customFormat="false" ht="15" hidden="false" customHeight="false" outlineLevel="0" collapsed="false">
      <c r="A5" s="5" t="s">
        <v>271</v>
      </c>
      <c r="B5" s="17" t="n">
        <v>131314.52</v>
      </c>
      <c r="C5" s="17" t="n">
        <v>135344.58</v>
      </c>
    </row>
    <row r="6" customFormat="false" ht="15" hidden="false" customHeight="false" outlineLevel="0" collapsed="false">
      <c r="A6" s="5" t="s">
        <v>272</v>
      </c>
      <c r="B6" s="17" t="n">
        <v>40676.89</v>
      </c>
      <c r="C6" s="17" t="n">
        <v>54888.59</v>
      </c>
    </row>
    <row r="7" customFormat="false" ht="15" hidden="false" customHeight="false" outlineLevel="0" collapsed="false">
      <c r="A7" s="5" t="s">
        <v>273</v>
      </c>
      <c r="B7" s="17" t="n">
        <v>10180.86</v>
      </c>
      <c r="C7" s="17" t="n">
        <v>14488.79</v>
      </c>
    </row>
    <row r="8" customFormat="false" ht="15" hidden="false" customHeight="false" outlineLevel="0" collapsed="false">
      <c r="A8" s="5" t="s">
        <v>274</v>
      </c>
      <c r="B8" s="17" t="n">
        <v>48453.32</v>
      </c>
      <c r="C8" s="17" t="n">
        <v>53946.53</v>
      </c>
    </row>
    <row r="9" customFormat="false" ht="15" hidden="false" customHeight="false" outlineLevel="0" collapsed="false">
      <c r="A9" s="5" t="s">
        <v>275</v>
      </c>
      <c r="B9" s="17" t="n">
        <v>15193.95</v>
      </c>
      <c r="C9" s="17" t="n">
        <v>17283.43</v>
      </c>
    </row>
    <row r="10" customFormat="false" ht="15" hidden="false" customHeight="false" outlineLevel="0" collapsed="false">
      <c r="A10" s="5" t="s">
        <v>276</v>
      </c>
      <c r="B10" s="17" t="n">
        <v>5389.07</v>
      </c>
      <c r="C10" s="17" t="n">
        <v>5118.51</v>
      </c>
    </row>
    <row r="11" customFormat="false" ht="15" hidden="false" customHeight="false" outlineLevel="0" collapsed="false">
      <c r="A11" s="5" t="s">
        <v>277</v>
      </c>
      <c r="B11" s="17" t="n">
        <v>7816.4</v>
      </c>
      <c r="C11" s="17" t="n">
        <v>7978.01</v>
      </c>
    </row>
    <row r="12" customFormat="false" ht="15" hidden="false" customHeight="false" outlineLevel="0" collapsed="false">
      <c r="A12" s="13" t="s">
        <v>278</v>
      </c>
      <c r="B12" s="23" t="n">
        <f aca="false">SUM(B5:B11)</f>
        <v>259025.01</v>
      </c>
      <c r="C12" s="23" t="n">
        <f aca="false">SUM(C5:C11)</f>
        <v>289048.44</v>
      </c>
    </row>
    <row r="14" customFormat="false" ht="15" hidden="false" customHeight="false" outlineLevel="0" collapsed="false">
      <c r="A14" s="12" t="s">
        <v>279</v>
      </c>
    </row>
    <row r="15" customFormat="false" ht="15" hidden="false" customHeight="false" outlineLevel="0" collapsed="false">
      <c r="A15" s="5" t="s">
        <v>271</v>
      </c>
      <c r="B15" s="17" t="n">
        <v>6921.45</v>
      </c>
      <c r="C15" s="17" t="n">
        <v>7759.98</v>
      </c>
    </row>
    <row r="16" customFormat="false" ht="15" hidden="false" customHeight="false" outlineLevel="0" collapsed="false">
      <c r="A16" s="5" t="s">
        <v>272</v>
      </c>
      <c r="B16" s="17" t="n">
        <v>3178.23</v>
      </c>
      <c r="C16" s="17" t="n">
        <v>3374.38</v>
      </c>
    </row>
    <row r="17" customFormat="false" ht="15" hidden="false" customHeight="false" outlineLevel="0" collapsed="false">
      <c r="A17" s="5" t="s">
        <v>273</v>
      </c>
      <c r="B17" s="17" t="n">
        <v>1459.05</v>
      </c>
      <c r="C17" s="17" t="n">
        <v>2105.13</v>
      </c>
    </row>
    <row r="18" customFormat="false" ht="15" hidden="false" customHeight="false" outlineLevel="0" collapsed="false">
      <c r="A18" s="5" t="s">
        <v>274</v>
      </c>
      <c r="B18" s="17" t="n">
        <v>7682.15</v>
      </c>
      <c r="C18" s="17" t="n">
        <v>8633.94</v>
      </c>
    </row>
    <row r="19" customFormat="false" ht="15" hidden="false" customHeight="false" outlineLevel="0" collapsed="false">
      <c r="A19" s="5" t="s">
        <v>275</v>
      </c>
      <c r="B19" s="17" t="n">
        <v>3491.31</v>
      </c>
      <c r="C19" s="17" t="n">
        <v>4032.05</v>
      </c>
    </row>
    <row r="20" customFormat="false" ht="15" hidden="false" customHeight="false" outlineLevel="0" collapsed="false">
      <c r="A20" s="5" t="s">
        <v>276</v>
      </c>
      <c r="B20" s="17" t="n">
        <v>716</v>
      </c>
      <c r="C20" s="17" t="n">
        <v>538.95</v>
      </c>
    </row>
    <row r="21" customFormat="false" ht="15" hidden="false" customHeight="false" outlineLevel="0" collapsed="false">
      <c r="A21" s="5" t="s">
        <v>277</v>
      </c>
      <c r="B21" s="17" t="n">
        <v>1934.81</v>
      </c>
      <c r="C21" s="17" t="n">
        <v>2085.7</v>
      </c>
    </row>
    <row r="22" customFormat="false" ht="15" hidden="false" customHeight="false" outlineLevel="0" collapsed="false">
      <c r="A22" s="13" t="s">
        <v>278</v>
      </c>
      <c r="B22" s="23" t="n">
        <f aca="false">SUM(B15:B21)</f>
        <v>25383</v>
      </c>
      <c r="C22" s="23" t="n">
        <f aca="false">SUM(C15:C21)</f>
        <v>28530.13</v>
      </c>
    </row>
    <row r="24" customFormat="false" ht="15" hidden="false" customHeight="false" outlineLevel="0" collapsed="false">
      <c r="A24" s="12" t="s">
        <v>280</v>
      </c>
    </row>
    <row r="25" customFormat="false" ht="15" hidden="false" customHeight="false" outlineLevel="0" collapsed="false">
      <c r="A25" s="5" t="s">
        <v>271</v>
      </c>
      <c r="B25" s="17" t="n">
        <v>97183.24</v>
      </c>
      <c r="C25" s="17" t="n">
        <v>115059.75</v>
      </c>
    </row>
    <row r="26" customFormat="false" ht="15" hidden="false" customHeight="false" outlineLevel="0" collapsed="false">
      <c r="A26" s="5" t="s">
        <v>272</v>
      </c>
      <c r="B26" s="17" t="n">
        <v>29342.12</v>
      </c>
      <c r="C26" s="17" t="n">
        <v>39400.94</v>
      </c>
    </row>
    <row r="27" customFormat="false" ht="15" hidden="false" customHeight="false" outlineLevel="0" collapsed="false">
      <c r="A27" s="5" t="s">
        <v>273</v>
      </c>
      <c r="B27" s="17" t="n">
        <v>13342.07</v>
      </c>
      <c r="C27" s="17" t="n">
        <v>17455.49</v>
      </c>
    </row>
    <row r="28" customFormat="false" ht="15" hidden="false" customHeight="false" outlineLevel="0" collapsed="false">
      <c r="A28" s="5" t="s">
        <v>274</v>
      </c>
      <c r="B28" s="17" t="n">
        <v>49124.05</v>
      </c>
      <c r="C28" s="17" t="n">
        <v>56134.4</v>
      </c>
    </row>
    <row r="29" customFormat="false" ht="15" hidden="false" customHeight="false" outlineLevel="0" collapsed="false">
      <c r="A29" s="5" t="s">
        <v>275</v>
      </c>
      <c r="B29" s="17" t="n">
        <v>118627.16</v>
      </c>
      <c r="C29" s="17" t="n">
        <v>140383.98</v>
      </c>
    </row>
    <row r="30" customFormat="false" ht="15" hidden="false" customHeight="false" outlineLevel="0" collapsed="false">
      <c r="A30" s="5" t="s">
        <v>276</v>
      </c>
      <c r="B30" s="17" t="n">
        <v>25125.12</v>
      </c>
      <c r="C30" s="17" t="n">
        <v>25008.07</v>
      </c>
    </row>
    <row r="31" customFormat="false" ht="15" hidden="false" customHeight="false" outlineLevel="0" collapsed="false">
      <c r="A31" s="5" t="s">
        <v>277</v>
      </c>
      <c r="B31" s="17" t="n">
        <v>16312.18</v>
      </c>
      <c r="C31" s="17" t="n">
        <v>18623.09</v>
      </c>
    </row>
    <row r="32" customFormat="false" ht="15" hidden="false" customHeight="false" outlineLevel="0" collapsed="false">
      <c r="A32" s="13" t="s">
        <v>278</v>
      </c>
      <c r="B32" s="23" t="n">
        <f aca="false">SUM(B25:B31)</f>
        <v>349055.94</v>
      </c>
      <c r="C32" s="23" t="n">
        <f aca="false">SUM(C25:C31)</f>
        <v>412065.72</v>
      </c>
    </row>
    <row r="34" customFormat="false" ht="15" hidden="false" customHeight="false" outlineLevel="0" collapsed="false">
      <c r="A34" s="12" t="s">
        <v>281</v>
      </c>
    </row>
    <row r="35" customFormat="false" ht="15" hidden="false" customHeight="false" outlineLevel="0" collapsed="false">
      <c r="A35" s="5" t="s">
        <v>271</v>
      </c>
      <c r="B35" s="17" t="n">
        <v>72180.5</v>
      </c>
      <c r="C35" s="17" t="n">
        <v>93245.91</v>
      </c>
    </row>
    <row r="36" customFormat="false" ht="15" hidden="false" customHeight="false" outlineLevel="0" collapsed="false">
      <c r="A36" s="5" t="s">
        <v>272</v>
      </c>
      <c r="B36" s="17" t="n">
        <v>27064.51</v>
      </c>
      <c r="C36" s="17" t="n">
        <v>41934.07</v>
      </c>
    </row>
    <row r="37" customFormat="false" ht="15" hidden="false" customHeight="false" outlineLevel="0" collapsed="false">
      <c r="A37" s="5" t="s">
        <v>273</v>
      </c>
      <c r="B37" s="17" t="n">
        <v>11092.07</v>
      </c>
      <c r="C37" s="17" t="n">
        <v>13456.22</v>
      </c>
    </row>
    <row r="38" customFormat="false" ht="15" hidden="false" customHeight="false" outlineLevel="0" collapsed="false">
      <c r="A38" s="5" t="s">
        <v>274</v>
      </c>
      <c r="B38" s="17" t="n">
        <v>11420.88</v>
      </c>
      <c r="C38" s="17" t="n">
        <v>17319.77</v>
      </c>
    </row>
    <row r="39" customFormat="false" ht="15" hidden="false" customHeight="false" outlineLevel="0" collapsed="false">
      <c r="A39" s="5" t="s">
        <v>275</v>
      </c>
      <c r="B39" s="17" t="n">
        <v>94750.56</v>
      </c>
      <c r="C39" s="17" t="n">
        <v>114148.04</v>
      </c>
    </row>
    <row r="40" customFormat="false" ht="15" hidden="false" customHeight="false" outlineLevel="0" collapsed="false">
      <c r="A40" s="5" t="s">
        <v>276</v>
      </c>
      <c r="B40" s="17" t="n">
        <v>6858.74</v>
      </c>
      <c r="C40" s="17" t="n">
        <v>6328.6</v>
      </c>
    </row>
    <row r="41" customFormat="false" ht="15" hidden="false" customHeight="false" outlineLevel="0" collapsed="false">
      <c r="A41" s="5" t="s">
        <v>277</v>
      </c>
      <c r="B41" s="17" t="n">
        <v>7649.17</v>
      </c>
      <c r="C41" s="17" t="n">
        <v>9650.92</v>
      </c>
    </row>
    <row r="42" customFormat="false" ht="15" hidden="false" customHeight="false" outlineLevel="0" collapsed="false">
      <c r="A42" s="13" t="s">
        <v>278</v>
      </c>
      <c r="B42" s="23" t="n">
        <f aca="false">SUM(B35:B41)</f>
        <v>231016.43</v>
      </c>
      <c r="C42" s="23" t="n">
        <f aca="false">SUM(C35:C41)</f>
        <v>296083.53</v>
      </c>
    </row>
    <row r="44" customFormat="false" ht="15" hidden="false" customHeight="false" outlineLevel="0" collapsed="false">
      <c r="A44" s="12" t="s">
        <v>282</v>
      </c>
    </row>
    <row r="45" customFormat="false" ht="15" hidden="false" customHeight="false" outlineLevel="0" collapsed="false">
      <c r="A45" s="5" t="s">
        <v>283</v>
      </c>
      <c r="B45" s="20" t="n">
        <f aca="false">'Income Statement'!B4-B9</f>
        <v>240540.5</v>
      </c>
      <c r="C45" s="20" t="n">
        <f aca="false">'Income Statement'!C4-C9</f>
        <v>268590.93</v>
      </c>
    </row>
    <row r="46" customFormat="false" ht="15" hidden="false" customHeight="false" outlineLevel="0" collapsed="false">
      <c r="A46" s="5" t="s">
        <v>284</v>
      </c>
      <c r="B46" s="20" t="n">
        <f aca="false">'Income Statement'!B18-B19</f>
        <v>22943.43</v>
      </c>
      <c r="C46" s="20" t="n">
        <f aca="false">'Income Statement'!C18-C19</f>
        <v>25119.09</v>
      </c>
    </row>
    <row r="47" customFormat="false" ht="15" hidden="false" customHeight="false" outlineLevel="0" collapsed="false">
      <c r="A47" s="5" t="s">
        <v>131</v>
      </c>
      <c r="B47" s="8" t="n">
        <f aca="false">B46/B45</f>
        <v>0.0953828149521598</v>
      </c>
      <c r="C47" s="8" t="n">
        <f aca="false">C46/C45</f>
        <v>0.0935217358233205</v>
      </c>
    </row>
    <row r="48" customFormat="false" ht="15" hidden="false" customHeight="false" outlineLevel="0" collapsed="false">
      <c r="A48" s="5" t="s">
        <v>285</v>
      </c>
      <c r="B48" s="20" t="n">
        <f aca="false">B46-'Income Statement'!B20</f>
        <v>18822.25</v>
      </c>
      <c r="C48" s="20" t="n">
        <f aca="false">C46-'Income Statement'!C20</f>
        <v>20754.34</v>
      </c>
    </row>
    <row r="49" customFormat="false" ht="15" hidden="false" customHeight="false" outlineLevel="0" collapsed="false">
      <c r="A49" s="5" t="s">
        <v>286</v>
      </c>
      <c r="B49" s="20" t="n">
        <f aca="false">B29-B39</f>
        <v>23876.6</v>
      </c>
      <c r="C49" s="20" t="n">
        <f aca="false">C29-C39</f>
        <v>26235.94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C7430"/>
    <pageSetUpPr fitToPage="false"/>
  </sheetPr>
  <dimension ref="A1:F3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6" min="2" style="0" width="14"/>
  </cols>
  <sheetData>
    <row r="1" customFormat="false" ht="17.35" hidden="false" customHeight="false" outlineLevel="0" collapsed="false">
      <c r="A1" s="1" t="s">
        <v>287</v>
      </c>
    </row>
    <row r="2" customFormat="false" ht="15" hidden="false" customHeight="false" outlineLevel="0" collapsed="false">
      <c r="A2" s="2" t="s">
        <v>288</v>
      </c>
    </row>
    <row r="3" customFormat="false" ht="15" hidden="false" customHeight="false" outlineLevel="0" collapsed="false">
      <c r="A3" s="3" t="s">
        <v>289</v>
      </c>
      <c r="B3" s="4" t="s">
        <v>174</v>
      </c>
      <c r="C3" s="4" t="s">
        <v>175</v>
      </c>
      <c r="D3" s="4" t="s">
        <v>176</v>
      </c>
      <c r="E3" s="4" t="s">
        <v>177</v>
      </c>
      <c r="F3" s="4" t="s">
        <v>178</v>
      </c>
    </row>
    <row r="4" customFormat="false" ht="15" hidden="false" customHeight="false" outlineLevel="0" collapsed="false">
      <c r="A4" s="5" t="s">
        <v>139</v>
      </c>
      <c r="B4" s="9" t="n">
        <v>156521.23</v>
      </c>
      <c r="C4" s="9" t="n">
        <v>183340.7</v>
      </c>
      <c r="D4" s="9" t="n">
        <v>221112.89</v>
      </c>
      <c r="E4" s="7" t="n">
        <f aca="false">'Income Statement'!B4</f>
        <v>255734.45</v>
      </c>
      <c r="F4" s="7" t="n">
        <f aca="false">'Income Statement'!C4</f>
        <v>285874.36</v>
      </c>
    </row>
    <row r="5" customFormat="false" ht="15" hidden="false" customHeight="false" outlineLevel="0" collapsed="false">
      <c r="A5" s="5" t="s">
        <v>159</v>
      </c>
      <c r="B5" s="9" t="n">
        <v>14494.97</v>
      </c>
      <c r="C5" s="9" t="n">
        <v>17109.03</v>
      </c>
      <c r="D5" s="9" t="n">
        <v>20517.11</v>
      </c>
      <c r="E5" s="7" t="n">
        <f aca="false">'Income Statement'!B24</f>
        <v>23578.79</v>
      </c>
      <c r="F5" s="7" t="n">
        <f aca="false">'Income Statement'!C24</f>
        <v>25975.81</v>
      </c>
    </row>
    <row r="6" customFormat="false" ht="15" hidden="false" customHeight="false" outlineLevel="0" collapsed="false">
      <c r="A6" s="5" t="s">
        <v>290</v>
      </c>
      <c r="B6" s="9" t="n">
        <v>10419</v>
      </c>
      <c r="C6" s="9" t="n">
        <v>12531</v>
      </c>
      <c r="D6" s="9" t="n">
        <v>15547</v>
      </c>
      <c r="E6" s="7" t="n">
        <f aca="false">'Income Statement'!B30</f>
        <v>17673.33</v>
      </c>
      <c r="F6" s="7" t="n">
        <f aca="false">'Income Statement'!C30</f>
        <v>18953.88</v>
      </c>
    </row>
    <row r="7" customFormat="false" ht="15" hidden="false" customHeight="false" outlineLevel="0" collapsed="false">
      <c r="A7" s="5" t="s">
        <v>180</v>
      </c>
      <c r="B7" s="9" t="n">
        <v>8669.33</v>
      </c>
      <c r="C7" s="9" t="n">
        <v>10470.72</v>
      </c>
      <c r="D7" s="9" t="n">
        <v>13059.11</v>
      </c>
      <c r="E7" s="7" t="n">
        <f aca="false">'Income Statement'!B32</f>
        <v>15037.11</v>
      </c>
      <c r="F7" s="7" t="n">
        <f aca="false">'Income Statement'!C32</f>
        <v>16083.99</v>
      </c>
    </row>
    <row r="8" customFormat="false" ht="15" hidden="false" customHeight="false" outlineLevel="0" collapsed="false">
      <c r="A8" s="5" t="s">
        <v>291</v>
      </c>
      <c r="B8" s="9" t="n">
        <v>82408</v>
      </c>
      <c r="C8" s="9" t="n">
        <v>89326</v>
      </c>
      <c r="D8" s="9" t="n">
        <v>86359</v>
      </c>
      <c r="E8" s="7" t="n">
        <f aca="false">'Balance Sheet'!B37</f>
        <v>97655.6</v>
      </c>
      <c r="F8" s="7" t="n">
        <f aca="false">'Balance Sheet'!C37</f>
        <v>109289.8</v>
      </c>
    </row>
    <row r="9" customFormat="false" ht="15" hidden="false" customHeight="false" outlineLevel="0" collapsed="false">
      <c r="A9" s="5" t="s">
        <v>292</v>
      </c>
      <c r="B9" s="9" t="n">
        <v>319028</v>
      </c>
      <c r="C9" s="9" t="n">
        <v>329722</v>
      </c>
      <c r="D9" s="9" t="n">
        <v>339602</v>
      </c>
      <c r="E9" s="7" t="n">
        <f aca="false">'Balance Sheet'!B33</f>
        <v>379524.1</v>
      </c>
      <c r="F9" s="7" t="n">
        <f aca="false">'Balance Sheet'!C33</f>
        <v>452549.88</v>
      </c>
    </row>
    <row r="10" customFormat="false" ht="15" hidden="false" customHeight="false" outlineLevel="0" collapsed="false">
      <c r="A10" s="5" t="s">
        <v>293</v>
      </c>
      <c r="B10" s="9" t="n">
        <v>125508</v>
      </c>
      <c r="C10" s="9" t="n">
        <v>120650</v>
      </c>
      <c r="D10" s="9" t="n">
        <v>116322</v>
      </c>
      <c r="E10" s="7" t="n">
        <f aca="false">'Balance Sheet'!B63+'Balance Sheet'!B41+'Balance Sheet'!B49</f>
        <v>132408.92</v>
      </c>
      <c r="F10" s="7" t="n">
        <f aca="false">'Balance Sheet'!C63+'Balance Sheet'!C41+'Balance Sheet'!C49</f>
        <v>125496.59</v>
      </c>
    </row>
    <row r="11" customFormat="false" ht="15" hidden="false" customHeight="false" outlineLevel="0" collapsed="false">
      <c r="A11" s="5" t="s">
        <v>294</v>
      </c>
      <c r="B11" s="9" t="n">
        <v>19164</v>
      </c>
      <c r="C11" s="9" t="n">
        <v>22777</v>
      </c>
      <c r="D11" s="9" t="n">
        <v>18266</v>
      </c>
      <c r="E11" s="7" t="n">
        <f aca="false">'Cash Flow Statement'!B11</f>
        <v>9151.35</v>
      </c>
      <c r="F11" s="7" t="n">
        <f aca="false">'Cash Flow Statement'!C11</f>
        <v>16740.97</v>
      </c>
    </row>
    <row r="12" customFormat="false" ht="15" hidden="false" customHeight="false" outlineLevel="0" collapsed="false">
      <c r="A12" s="5" t="s">
        <v>295</v>
      </c>
      <c r="B12" s="16" t="n">
        <v>108</v>
      </c>
      <c r="C12" s="16" t="n">
        <v>89</v>
      </c>
      <c r="D12" s="16" t="n">
        <v>81</v>
      </c>
      <c r="E12" s="16" t="n">
        <v>77</v>
      </c>
      <c r="F12" s="16" t="n">
        <v>77</v>
      </c>
    </row>
    <row r="13" customFormat="false" ht="15" hidden="false" customHeight="false" outlineLevel="0" collapsed="false">
      <c r="A13" s="5" t="s">
        <v>296</v>
      </c>
      <c r="B13" s="16" t="n">
        <v>44</v>
      </c>
      <c r="C13" s="16" t="n">
        <v>41</v>
      </c>
      <c r="D13" s="16" t="n">
        <v>32</v>
      </c>
      <c r="E13" s="16" t="n">
        <v>30</v>
      </c>
      <c r="F13" s="16" t="n">
        <v>36</v>
      </c>
    </row>
    <row r="14" customFormat="false" ht="15" hidden="false" customHeight="false" outlineLevel="0" collapsed="false">
      <c r="A14" s="5" t="s">
        <v>297</v>
      </c>
      <c r="B14" s="16" t="n">
        <v>378</v>
      </c>
      <c r="C14" s="16" t="n">
        <v>302</v>
      </c>
      <c r="D14" s="16" t="n">
        <v>255</v>
      </c>
      <c r="E14" s="16" t="n">
        <v>208</v>
      </c>
      <c r="F14" s="16" t="n">
        <v>265</v>
      </c>
    </row>
    <row r="15" customFormat="false" ht="15" hidden="false" customHeight="false" outlineLevel="0" collapsed="false">
      <c r="A15" s="13" t="s">
        <v>298</v>
      </c>
      <c r="B15" s="26" t="n">
        <f aca="false">B12+B13-B14</f>
        <v>-226</v>
      </c>
      <c r="C15" s="26" t="n">
        <f aca="false">C12+C13-C14</f>
        <v>-172</v>
      </c>
      <c r="D15" s="26" t="n">
        <f aca="false">D12+D13-D14</f>
        <v>-142</v>
      </c>
      <c r="E15" s="26" t="n">
        <f aca="false">E12+E13-E14</f>
        <v>-101</v>
      </c>
      <c r="F15" s="26" t="n">
        <f aca="false">F12+F13-F14</f>
        <v>-152</v>
      </c>
    </row>
    <row r="16" customFormat="false" ht="15" hidden="false" customHeight="false" outlineLevel="0" collapsed="false">
      <c r="A16" s="5" t="s">
        <v>299</v>
      </c>
      <c r="B16" s="27" t="n">
        <v>0.1</v>
      </c>
      <c r="C16" s="27" t="n">
        <v>0.12</v>
      </c>
      <c r="D16" s="27" t="n">
        <v>0.13</v>
      </c>
      <c r="E16" s="27" t="n">
        <v>0.15</v>
      </c>
      <c r="F16" s="27" t="n">
        <v>0.15</v>
      </c>
    </row>
    <row r="18" customFormat="false" ht="15" hidden="false" customHeight="false" outlineLevel="0" collapsed="false">
      <c r="A18" s="12" t="s">
        <v>300</v>
      </c>
    </row>
    <row r="19" customFormat="false" ht="15" hidden="false" customHeight="false" outlineLevel="0" collapsed="false">
      <c r="A19" s="5" t="s">
        <v>301</v>
      </c>
      <c r="C19" s="8" t="n">
        <f aca="false">C4/B4-1</f>
        <v>0.17134717124316</v>
      </c>
      <c r="D19" s="8" t="n">
        <f aca="false">D4/C4-1</f>
        <v>0.206021848940252</v>
      </c>
      <c r="E19" s="8" t="n">
        <f aca="false">E4/D4-1</f>
        <v>0.156578659887264</v>
      </c>
      <c r="F19" s="8" t="n">
        <f aca="false">F4/E4-1</f>
        <v>0.117856276305363</v>
      </c>
    </row>
    <row r="20" customFormat="false" ht="15" hidden="false" customHeight="false" outlineLevel="0" collapsed="false">
      <c r="A20" s="5" t="s">
        <v>302</v>
      </c>
      <c r="C20" s="8" t="n">
        <f aca="false">C7/B7-1</f>
        <v>0.207788837199645</v>
      </c>
      <c r="D20" s="8" t="n">
        <f aca="false">D7/C7-1</f>
        <v>0.247202675651722</v>
      </c>
      <c r="E20" s="8" t="n">
        <f aca="false">E7/D7-1</f>
        <v>0.151465145787118</v>
      </c>
      <c r="F20" s="8" t="n">
        <f aca="false">F7/E7-1</f>
        <v>0.0696197607119957</v>
      </c>
    </row>
    <row r="21" customFormat="false" ht="15" hidden="false" customHeight="false" outlineLevel="0" collapsed="false">
      <c r="A21" s="5" t="s">
        <v>303</v>
      </c>
      <c r="B21" s="28" t="n">
        <f aca="false">B7/B4</f>
        <v>0.0553875662745559</v>
      </c>
      <c r="C21" s="28" t="n">
        <f aca="false">C7/C4</f>
        <v>0.0571107233691155</v>
      </c>
      <c r="D21" s="28" t="n">
        <f aca="false">D7/D4</f>
        <v>0.0590608263498342</v>
      </c>
      <c r="E21" s="28" t="n">
        <f aca="false">E7/E4</f>
        <v>0.0587997041462345</v>
      </c>
      <c r="F21" s="28" t="n">
        <f aca="false">F7/F4</f>
        <v>0.0562624434034587</v>
      </c>
    </row>
    <row r="22" customFormat="false" ht="15" hidden="false" customHeight="false" outlineLevel="0" collapsed="false">
      <c r="A22" s="5" t="s">
        <v>304</v>
      </c>
      <c r="B22" s="29" t="n">
        <f aca="false">B4/B9</f>
        <v>0.490619099264015</v>
      </c>
      <c r="C22" s="29" t="n">
        <f aca="false">C4/C9</f>
        <v>0.556046305675691</v>
      </c>
      <c r="D22" s="29" t="n">
        <f aca="false">D4/D9</f>
        <v>0.651094192613707</v>
      </c>
      <c r="E22" s="29" t="n">
        <f aca="false">E4/E9</f>
        <v>0.673829277244844</v>
      </c>
      <c r="F22" s="29" t="n">
        <f aca="false">F4/F9</f>
        <v>0.63169690819496</v>
      </c>
    </row>
    <row r="23" customFormat="false" ht="15" hidden="false" customHeight="false" outlineLevel="0" collapsed="false">
      <c r="A23" s="5" t="s">
        <v>305</v>
      </c>
      <c r="B23" s="24" t="n">
        <f aca="false">B9/B8</f>
        <v>3.87132317250752</v>
      </c>
      <c r="C23" s="24" t="n">
        <f aca="false">C9/C8</f>
        <v>3.69122092112039</v>
      </c>
      <c r="D23" s="24" t="n">
        <f aca="false">D9/D8</f>
        <v>3.93244479440475</v>
      </c>
      <c r="E23" s="24" t="n">
        <f aca="false">E9/E8</f>
        <v>3.88635265156325</v>
      </c>
      <c r="F23" s="24" t="n">
        <f aca="false">F9/F8</f>
        <v>4.14082448682311</v>
      </c>
    </row>
    <row r="24" customFormat="false" ht="15" hidden="false" customHeight="false" outlineLevel="0" collapsed="false">
      <c r="A24" s="13" t="s">
        <v>306</v>
      </c>
      <c r="B24" s="30" t="n">
        <f aca="false">B21*B22*B23</f>
        <v>0.105200101931851</v>
      </c>
      <c r="C24" s="30" t="n">
        <f aca="false">C21*C22*C23</f>
        <v>0.117219174708372</v>
      </c>
      <c r="D24" s="30" t="n">
        <f aca="false">D21*D22*D23</f>
        <v>0.151218865433829</v>
      </c>
      <c r="E24" s="30" t="n">
        <f aca="false">E21*E22*E23</f>
        <v>0.153981031297744</v>
      </c>
      <c r="F24" s="30" t="n">
        <f aca="false">F21*F22*F23</f>
        <v>0.147168262729001</v>
      </c>
    </row>
    <row r="25" customFormat="false" ht="15" hidden="false" customHeight="false" outlineLevel="0" collapsed="false">
      <c r="A25" s="5" t="s">
        <v>307</v>
      </c>
      <c r="B25" s="28" t="n">
        <f aca="false">B7/B8</f>
        <v>0.105200101931851</v>
      </c>
      <c r="C25" s="28" t="n">
        <f aca="false">C7/C8</f>
        <v>0.117219174708372</v>
      </c>
      <c r="D25" s="28" t="n">
        <f aca="false">D7/D8</f>
        <v>0.151218865433829</v>
      </c>
      <c r="E25" s="28" t="n">
        <f aca="false">E7/E8</f>
        <v>0.153981031297744</v>
      </c>
      <c r="F25" s="28" t="n">
        <f aca="false">F7/F8</f>
        <v>0.147168262729001</v>
      </c>
    </row>
    <row r="26" customFormat="false" ht="15" hidden="false" customHeight="false" outlineLevel="0" collapsed="false">
      <c r="A26" s="5" t="s">
        <v>308</v>
      </c>
      <c r="B26" s="31" t="n">
        <f aca="false">B10/B8</f>
        <v>1.52300747500243</v>
      </c>
      <c r="C26" s="31" t="n">
        <f aca="false">C10/C8</f>
        <v>1.35067057743546</v>
      </c>
      <c r="D26" s="31" t="n">
        <f aca="false">D10/D8</f>
        <v>1.34695862619993</v>
      </c>
      <c r="E26" s="31" t="n">
        <f aca="false">E10/E8</f>
        <v>1.35587636551309</v>
      </c>
      <c r="F26" s="31" t="n">
        <f aca="false">F10/F8</f>
        <v>1.14829188085256</v>
      </c>
    </row>
    <row r="27" customFormat="false" ht="15" hidden="false" customHeight="false" outlineLevel="0" collapsed="false">
      <c r="A27" s="5" t="s">
        <v>309</v>
      </c>
      <c r="B27" s="31" t="n">
        <f aca="false">B11/B6</f>
        <v>1.83933198963432</v>
      </c>
      <c r="C27" s="31" t="n">
        <f aca="false">C11/C6</f>
        <v>1.81765222248823</v>
      </c>
      <c r="D27" s="31" t="n">
        <f aca="false">D11/D6</f>
        <v>1.17488904611822</v>
      </c>
      <c r="E27" s="31" t="n">
        <f aca="false">E11/E6</f>
        <v>0.517805642739653</v>
      </c>
      <c r="F27" s="31" t="n">
        <f aca="false">F11/F6</f>
        <v>0.883247651668156</v>
      </c>
    </row>
    <row r="28" customFormat="false" ht="15" hidden="false" customHeight="false" outlineLevel="0" collapsed="false">
      <c r="A28" s="5" t="s">
        <v>310</v>
      </c>
      <c r="B28" s="28" t="n">
        <f aca="false">B5/B4</f>
        <v>0.0926070540079451</v>
      </c>
      <c r="C28" s="28" t="n">
        <f aca="false">C5/C4</f>
        <v>0.0933182321219456</v>
      </c>
      <c r="D28" s="28" t="n">
        <f aca="false">D5/D4</f>
        <v>0.092790203230576</v>
      </c>
      <c r="E28" s="28" t="n">
        <f aca="false">E5/E4</f>
        <v>0.0922002882286685</v>
      </c>
      <c r="F28" s="28" t="n">
        <f aca="false">F5/F4</f>
        <v>0.090864427295963</v>
      </c>
    </row>
    <row r="29" customFormat="false" ht="15" hidden="false" customHeight="false" outlineLevel="0" collapsed="false">
      <c r="A29" s="5" t="s">
        <v>311</v>
      </c>
      <c r="B29" s="8" t="n">
        <f aca="false">(B6-B7)/B6</f>
        <v>0.167930703522411</v>
      </c>
      <c r="C29" s="8" t="n">
        <f aca="false">(C6-C7)/C6</f>
        <v>0.164414651663874</v>
      </c>
      <c r="D29" s="8" t="n">
        <f aca="false">(D6-D7)/D6</f>
        <v>0.160023798803628</v>
      </c>
      <c r="E29" s="8" t="n">
        <f aca="false">(E6-E7)/E6</f>
        <v>0.149163739940351</v>
      </c>
      <c r="F29" s="8" t="n">
        <f aca="false">(F6-F7)/F6</f>
        <v>0.151414380591204</v>
      </c>
    </row>
    <row r="30" customFormat="false" ht="15" hidden="false" customHeight="false" outlineLevel="0" collapsed="false">
      <c r="A30" s="5" t="s">
        <v>312</v>
      </c>
      <c r="C30" s="8" t="n">
        <f aca="false">C9/B9-1</f>
        <v>0.0335205687275098</v>
      </c>
      <c r="D30" s="8" t="n">
        <f aca="false">D9/C9-1</f>
        <v>0.0299646368759137</v>
      </c>
      <c r="E30" s="8" t="n">
        <f aca="false">E9/D9-1</f>
        <v>0.11755555032067</v>
      </c>
      <c r="F30" s="8" t="n">
        <f aca="false">F9/E9-1</f>
        <v>0.192414078578936</v>
      </c>
    </row>
    <row r="32" customFormat="false" ht="15" hidden="false" customHeight="false" outlineLevel="0" collapsed="false">
      <c r="A32" s="2" t="s">
        <v>313</v>
      </c>
    </row>
    <row r="33" customFormat="false" ht="15" hidden="false" customHeight="false" outlineLevel="0" collapsed="false">
      <c r="A33" s="12" t="s">
        <v>314</v>
      </c>
    </row>
    <row r="34" customFormat="false" ht="15" hidden="false" customHeight="false" outlineLevel="0" collapsed="false">
      <c r="A34" s="32" t="s">
        <v>315</v>
      </c>
    </row>
    <row r="35" customFormat="false" ht="15" hidden="false" customHeight="false" outlineLevel="0" collapsed="false">
      <c r="A35" s="32" t="s">
        <v>316</v>
      </c>
    </row>
    <row r="36" customFormat="false" ht="15" hidden="false" customHeight="false" outlineLevel="0" collapsed="false">
      <c r="A36" s="32" t="s">
        <v>317</v>
      </c>
    </row>
    <row r="37" customFormat="false" ht="15" hidden="false" customHeight="false" outlineLevel="0" collapsed="false">
      <c r="A37" s="32" t="s">
        <v>318</v>
      </c>
    </row>
    <row r="39" customFormat="false" ht="15" hidden="false" customHeight="false" outlineLevel="0" collapsed="false">
      <c r="A39" s="2" t="s">
        <v>319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C7430"/>
    <pageSetUpPr fitToPage="false"/>
  </sheetPr>
  <dimension ref="A1:D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6"/>
    <col collapsed="false" customWidth="true" hidden="false" outlineLevel="0" max="3" min="2" style="0" width="14"/>
    <col collapsed="false" customWidth="true" hidden="false" outlineLevel="0" max="4" min="4" style="0" width="70"/>
  </cols>
  <sheetData>
    <row r="1" customFormat="false" ht="17.35" hidden="false" customHeight="false" outlineLevel="0" collapsed="false">
      <c r="A1" s="1" t="s">
        <v>320</v>
      </c>
    </row>
    <row r="2" customFormat="false" ht="15" hidden="false" customHeight="false" outlineLevel="0" collapsed="false">
      <c r="A2" s="2" t="s">
        <v>321</v>
      </c>
    </row>
    <row r="3" customFormat="false" ht="15" hidden="false" customHeight="false" outlineLevel="0" collapsed="false">
      <c r="A3" s="3" t="s">
        <v>322</v>
      </c>
      <c r="B3" s="4" t="s">
        <v>138</v>
      </c>
      <c r="C3" s="4" t="s">
        <v>118</v>
      </c>
      <c r="D3" s="4" t="s">
        <v>323</v>
      </c>
    </row>
    <row r="4" customFormat="false" ht="15" hidden="false" customHeight="false" outlineLevel="0" collapsed="false">
      <c r="A4" s="12" t="s">
        <v>324</v>
      </c>
    </row>
    <row r="5" customFormat="false" ht="15" hidden="false" customHeight="false" outlineLevel="0" collapsed="false">
      <c r="A5" s="5" t="s">
        <v>325</v>
      </c>
      <c r="B5" s="31" t="n">
        <f aca="false">'Balance Sheet'!B31/'Balance Sheet'!B56</f>
        <v>1.21395839697699</v>
      </c>
      <c r="C5" s="31" t="n">
        <f aca="false">'Balance Sheet'!C31/'Balance Sheet'!C56</f>
        <v>1.25396859789389</v>
      </c>
      <c r="D5" s="2" t="s">
        <v>326</v>
      </c>
    </row>
    <row r="6" customFormat="false" ht="15" hidden="false" customHeight="false" outlineLevel="0" collapsed="false">
      <c r="A6" s="5" t="s">
        <v>327</v>
      </c>
      <c r="B6" s="31" t="n">
        <f aca="false">('Balance Sheet'!B31-'Balance Sheet'!B22)/'Balance Sheet'!B56</f>
        <v>1.17597990601616</v>
      </c>
      <c r="C6" s="31" t="n">
        <f aca="false">('Balance Sheet'!C31-'Balance Sheet'!C22)/'Balance Sheet'!C56</f>
        <v>1.21315641099677</v>
      </c>
      <c r="D6" s="2"/>
    </row>
    <row r="7" customFormat="false" ht="15" hidden="false" customHeight="false" outlineLevel="0" collapsed="false">
      <c r="A7" s="5" t="s">
        <v>328</v>
      </c>
      <c r="B7" s="31" t="n">
        <f aca="false">('Balance Sheet'!B25+'Balance Sheet'!B26+'Balance Sheet'!B23)/'Balance Sheet'!B56</f>
        <v>0.328393644827052</v>
      </c>
      <c r="C7" s="31" t="n">
        <f aca="false">('Balance Sheet'!C25+'Balance Sheet'!C26+'Balance Sheet'!C23)/'Balance Sheet'!C56</f>
        <v>0.344161452844021</v>
      </c>
      <c r="D7" s="2" t="s">
        <v>329</v>
      </c>
    </row>
    <row r="8" customFormat="false" ht="15" hidden="false" customHeight="false" outlineLevel="0" collapsed="false">
      <c r="A8" s="12" t="s">
        <v>330</v>
      </c>
    </row>
    <row r="9" customFormat="false" ht="15" hidden="false" customHeight="false" outlineLevel="0" collapsed="false">
      <c r="A9" s="5" t="s">
        <v>154</v>
      </c>
      <c r="B9" s="8" t="n">
        <f aca="false">'Income Statement'!B19</f>
        <v>0.103367927160381</v>
      </c>
      <c r="C9" s="8" t="n">
        <f aca="false">'Income Statement'!C19</f>
        <v>0.101971859246139</v>
      </c>
      <c r="D9" s="2" t="s">
        <v>331</v>
      </c>
    </row>
    <row r="10" customFormat="false" ht="15" hidden="false" customHeight="false" outlineLevel="0" collapsed="false">
      <c r="A10" s="5" t="s">
        <v>332</v>
      </c>
      <c r="B10" s="8" t="n">
        <f aca="false">'Income Statement'!B22/'Income Statement'!B4</f>
        <v>0.0903437530610366</v>
      </c>
      <c r="C10" s="8" t="n">
        <f aca="false">'Income Statement'!C22/'Income Statement'!C4</f>
        <v>0.0968895916373891</v>
      </c>
      <c r="D10" s="2"/>
    </row>
    <row r="11" customFormat="false" ht="15" hidden="false" customHeight="false" outlineLevel="0" collapsed="false">
      <c r="A11" s="5" t="s">
        <v>333</v>
      </c>
      <c r="B11" s="8" t="n">
        <f aca="false">'Income Statement'!B32/'Income Statement'!B4</f>
        <v>0.0587997041462345</v>
      </c>
      <c r="C11" s="8" t="n">
        <f aca="false">'Income Statement'!C32/'Income Statement'!C4</f>
        <v>0.0562624434034587</v>
      </c>
      <c r="D11" s="2"/>
    </row>
    <row r="12" customFormat="false" ht="15" hidden="false" customHeight="false" outlineLevel="0" collapsed="false">
      <c r="A12" s="5" t="s">
        <v>334</v>
      </c>
      <c r="B12" s="8" t="n">
        <f aca="false">'Income Statement'!B32/'Balance Sheet'!B37</f>
        <v>0.153981031297744</v>
      </c>
      <c r="C12" s="8" t="n">
        <f aca="false">'Income Statement'!C32/'Balance Sheet'!C37</f>
        <v>0.147168262729001</v>
      </c>
      <c r="D12" s="2"/>
    </row>
    <row r="13" customFormat="false" ht="15" hidden="false" customHeight="false" outlineLevel="0" collapsed="false">
      <c r="A13" s="5" t="s">
        <v>335</v>
      </c>
      <c r="B13" s="8" t="n">
        <f aca="false">'Income Statement'!B30/'Balance Sheet'!B33</f>
        <v>0.0465670823012294</v>
      </c>
      <c r="C13" s="8" t="n">
        <f aca="false">'Income Statement'!C30/'Balance Sheet'!C33</f>
        <v>0.0418824108405464</v>
      </c>
      <c r="D13" s="2" t="s">
        <v>336</v>
      </c>
    </row>
    <row r="14" customFormat="false" ht="15" hidden="false" customHeight="false" outlineLevel="0" collapsed="false">
      <c r="A14" s="5" t="s">
        <v>337</v>
      </c>
      <c r="B14" s="8" t="n">
        <f aca="false">('Income Statement'!B18+'Income Statement'!B5-'Income Statement'!B20)/('Balance Sheet'!B33-'Balance Sheet'!B56)</f>
        <v>0.148903990465956</v>
      </c>
      <c r="C14" s="8" t="n">
        <f aca="false">('Income Statement'!C18+'Income Statement'!C5-'Income Statement'!C20)/('Balance Sheet'!C33-'Balance Sheet'!C56)</f>
        <v>0.13947261328397</v>
      </c>
      <c r="D14" s="2"/>
    </row>
    <row r="15" customFormat="false" ht="15" hidden="false" customHeight="false" outlineLevel="0" collapsed="false">
      <c r="A15" s="12" t="s">
        <v>338</v>
      </c>
    </row>
    <row r="16" customFormat="false" ht="15" hidden="false" customHeight="false" outlineLevel="0" collapsed="false">
      <c r="A16" s="5" t="s">
        <v>339</v>
      </c>
      <c r="B16" s="33" t="n">
        <f aca="false">'Balance Sheet'!B24/'Income Statement'!B4*365</f>
        <v>76.6634812009098</v>
      </c>
      <c r="C16" s="33" t="n">
        <f aca="false">'Balance Sheet'!C24/'Income Statement'!C4*365</f>
        <v>77.1960098135419</v>
      </c>
      <c r="D16" s="2"/>
    </row>
    <row r="17" customFormat="false" ht="15" hidden="false" customHeight="false" outlineLevel="0" collapsed="false">
      <c r="A17" s="5" t="s">
        <v>340</v>
      </c>
      <c r="B17" s="33" t="n">
        <f aca="false">'Balance Sheet'!B22/'Income Statement'!B4*365</f>
        <v>10.947882657186</v>
      </c>
      <c r="C17" s="33" t="n">
        <f aca="false">'Balance Sheet'!C22/'Income Statement'!C4*365</f>
        <v>12.1689453017053</v>
      </c>
      <c r="D17" s="2"/>
    </row>
    <row r="18" customFormat="false" ht="15" hidden="false" customHeight="false" outlineLevel="0" collapsed="false">
      <c r="A18" s="5" t="s">
        <v>341</v>
      </c>
      <c r="B18" s="33" t="n">
        <f aca="false">('Balance Sheet'!B50+'Balance Sheet'!B51)/'Income Statement'!B14*365</f>
        <v>116.27850363395</v>
      </c>
      <c r="C18" s="33" t="n">
        <f aca="false">('Balance Sheet'!C50+'Balance Sheet'!C51)/'Income Statement'!C14*365</f>
        <v>136.413796218826</v>
      </c>
      <c r="D18" s="2" t="s">
        <v>342</v>
      </c>
    </row>
    <row r="19" customFormat="false" ht="15" hidden="false" customHeight="false" outlineLevel="0" collapsed="false">
      <c r="A19" s="5" t="s">
        <v>304</v>
      </c>
      <c r="B19" s="31" t="n">
        <f aca="false">'Income Statement'!B4/'Balance Sheet'!B33</f>
        <v>0.673829277244844</v>
      </c>
      <c r="C19" s="31" t="n">
        <f aca="false">'Income Statement'!C4/'Balance Sheet'!C33</f>
        <v>0.63169690819496</v>
      </c>
      <c r="D19" s="2"/>
    </row>
    <row r="20" customFormat="false" ht="15" hidden="false" customHeight="false" outlineLevel="0" collapsed="false">
      <c r="A20" s="12" t="s">
        <v>343</v>
      </c>
    </row>
    <row r="21" customFormat="false" ht="15" hidden="false" customHeight="false" outlineLevel="0" collapsed="false">
      <c r="A21" s="5" t="s">
        <v>344</v>
      </c>
      <c r="B21" s="31" t="n">
        <f aca="false">'Balance Sheet'!B63/'Balance Sheet'!B39</f>
        <v>1.12266211961352</v>
      </c>
      <c r="C21" s="31" t="n">
        <f aca="false">'Balance Sheet'!C63/'Balance Sheet'!C39</f>
        <v>0.946725157600774</v>
      </c>
      <c r="D21" s="2" t="s">
        <v>345</v>
      </c>
    </row>
    <row r="22" customFormat="false" ht="15" hidden="false" customHeight="false" outlineLevel="0" collapsed="false">
      <c r="A22" s="5" t="s">
        <v>346</v>
      </c>
      <c r="B22" s="8" t="n">
        <f aca="false">'Balance Sheet'!B58/'Balance Sheet'!B33</f>
        <v>0.695925291700843</v>
      </c>
      <c r="C22" s="8" t="n">
        <f aca="false">'Balance Sheet'!C58/'Balance Sheet'!C33</f>
        <v>0.71598609196405</v>
      </c>
      <c r="D22" s="2"/>
    </row>
    <row r="23" customFormat="false" ht="15" hidden="false" customHeight="false" outlineLevel="0" collapsed="false">
      <c r="A23" s="5" t="s">
        <v>347</v>
      </c>
      <c r="B23" s="31" t="n">
        <f aca="false">('Income Statement'!B18+'Income Statement'!B5-'Income Statement'!B20)/'Income Statement'!B21</f>
        <v>7.92904806605146</v>
      </c>
      <c r="C23" s="31" t="n">
        <f aca="false">('Income Statement'!C18+'Income Statement'!C5-'Income Statement'!C20)/'Income Statement'!C21</f>
        <v>10.722709753512</v>
      </c>
      <c r="D23" s="2"/>
    </row>
    <row r="25" customFormat="false" ht="15" hidden="false" customHeight="false" outlineLevel="0" collapsed="false">
      <c r="A25" s="12" t="s">
        <v>348</v>
      </c>
    </row>
    <row r="26" customFormat="false" ht="15" hidden="false" customHeight="false" outlineLevel="0" collapsed="false">
      <c r="A26" s="5" t="s">
        <v>349</v>
      </c>
      <c r="C26" s="24" t="n">
        <f aca="false">'Income Statement'!C34</f>
        <v>116.919201831861</v>
      </c>
    </row>
    <row r="27" customFormat="false" ht="15" hidden="false" customHeight="false" outlineLevel="0" collapsed="false">
      <c r="A27" s="5" t="s">
        <v>350</v>
      </c>
      <c r="C27" s="6" t="n">
        <f aca="false">'Balance Sheet'!C37/'Assumptions &amp; Drivers'!B9</f>
        <v>794.45934649075</v>
      </c>
    </row>
    <row r="28" customFormat="false" ht="15" hidden="false" customHeight="false" outlineLevel="0" collapsed="false">
      <c r="A28" s="5" t="s">
        <v>351</v>
      </c>
      <c r="C28" s="31" t="n">
        <f aca="false">'Assumptions &amp; Drivers'!B5/C26</f>
        <v>32.8175350146326</v>
      </c>
    </row>
    <row r="29" customFormat="false" ht="15" hidden="false" customHeight="false" outlineLevel="0" collapsed="false">
      <c r="A29" s="5" t="s">
        <v>352</v>
      </c>
      <c r="C29" s="31" t="n">
        <f aca="false">'Assumptions &amp; Drivers'!B5/C27</f>
        <v>4.82969961515164</v>
      </c>
    </row>
    <row r="30" customFormat="false" ht="15" hidden="false" customHeight="false" outlineLevel="0" collapsed="false">
      <c r="A30" s="5" t="s">
        <v>353</v>
      </c>
      <c r="C30" s="25" t="n">
        <v>38</v>
      </c>
    </row>
    <row r="31" customFormat="false" ht="15" hidden="false" customHeight="false" outlineLevel="0" collapsed="false">
      <c r="A31" s="5" t="s">
        <v>354</v>
      </c>
      <c r="C31" s="28" t="n">
        <f aca="false">C30/'Assumptions &amp; Drivers'!B5</f>
        <v>0.00990357049778473</v>
      </c>
    </row>
    <row r="34" customFormat="false" ht="15" hidden="false" customHeight="false" outlineLevel="0" collapsed="false">
      <c r="A34" s="12" t="s">
        <v>355</v>
      </c>
    </row>
    <row r="35" customFormat="false" ht="15" hidden="false" customHeight="false" outlineLevel="0" collapsed="false">
      <c r="A35" s="5" t="s">
        <v>303</v>
      </c>
      <c r="B35" s="28" t="n">
        <f aca="false">'Income Statement'!B32/'Income Statement'!B4</f>
        <v>0.0587997041462345</v>
      </c>
      <c r="C35" s="28" t="n">
        <f aca="false">'Income Statement'!C32/'Income Statement'!C4</f>
        <v>0.0562624434034587</v>
      </c>
    </row>
    <row r="36" customFormat="false" ht="15" hidden="false" customHeight="false" outlineLevel="0" collapsed="false">
      <c r="A36" s="5" t="s">
        <v>304</v>
      </c>
      <c r="B36" s="29" t="n">
        <f aca="false">'Income Statement'!B4/'Balance Sheet'!B33</f>
        <v>0.673829277244844</v>
      </c>
      <c r="C36" s="29" t="n">
        <f aca="false">'Income Statement'!C4/'Balance Sheet'!C33</f>
        <v>0.63169690819496</v>
      </c>
    </row>
    <row r="37" customFormat="false" ht="15" hidden="false" customHeight="false" outlineLevel="0" collapsed="false">
      <c r="A37" s="5" t="s">
        <v>356</v>
      </c>
      <c r="B37" s="24" t="n">
        <f aca="false">'Balance Sheet'!B33/'Balance Sheet'!B37</f>
        <v>3.88635265156325</v>
      </c>
      <c r="C37" s="24" t="n">
        <f aca="false">'Balance Sheet'!C33/'Balance Sheet'!C37</f>
        <v>4.14082448682311</v>
      </c>
    </row>
    <row r="38" customFormat="false" ht="15" hidden="false" customHeight="false" outlineLevel="0" collapsed="false">
      <c r="A38" s="13" t="s">
        <v>357</v>
      </c>
      <c r="B38" s="30" t="n">
        <f aca="false">B35*B36*B37</f>
        <v>0.153981031297744</v>
      </c>
      <c r="C38" s="30" t="n">
        <f aca="false">C35*C36*C37</f>
        <v>0.147168262729001</v>
      </c>
      <c r="D38" s="2" t="s">
        <v>358</v>
      </c>
    </row>
    <row r="41" customFormat="false" ht="15" hidden="false" customHeight="false" outlineLevel="0" collapsed="false">
      <c r="A41" s="12" t="s">
        <v>359</v>
      </c>
    </row>
    <row r="42" customFormat="false" ht="15" hidden="false" customHeight="false" outlineLevel="0" collapsed="false">
      <c r="A42" s="2" t="s">
        <v>360</v>
      </c>
    </row>
    <row r="43" customFormat="false" ht="15" hidden="false" customHeight="false" outlineLevel="0" collapsed="false">
      <c r="A43" s="5" t="s">
        <v>361</v>
      </c>
      <c r="B43" s="29" t="n">
        <f aca="false">('Balance Sheet'!B31-'Balance Sheet'!B56)/'Balance Sheet'!B33</f>
        <v>0.113861991899856</v>
      </c>
      <c r="C43" s="29" t="n">
        <f aca="false">('Balance Sheet'!C31-'Balance Sheet'!C56)/'Balance Sheet'!C33</f>
        <v>0.131056625183505</v>
      </c>
    </row>
    <row r="44" customFormat="false" ht="15" hidden="false" customHeight="false" outlineLevel="0" collapsed="false">
      <c r="A44" s="5" t="s">
        <v>362</v>
      </c>
      <c r="B44" s="29" t="n">
        <f aca="false">'Balance Sheet'!B36/'Balance Sheet'!B33</f>
        <v>0.256585971747249</v>
      </c>
      <c r="C44" s="29" t="n">
        <f aca="false">'Balance Sheet'!C36/'Balance Sheet'!C33</f>
        <v>0.240889844010123</v>
      </c>
    </row>
    <row r="45" customFormat="false" ht="15" hidden="false" customHeight="false" outlineLevel="0" collapsed="false">
      <c r="A45" s="5" t="s">
        <v>363</v>
      </c>
      <c r="B45" s="29" t="n">
        <f aca="false">('Income Statement'!B18+'Income Statement'!B5-'Income Statement'!B20)/'Balance Sheet'!B33</f>
        <v>0.0696619266075593</v>
      </c>
      <c r="C45" s="29" t="n">
        <f aca="false">('Income Statement'!C18+'Income Statement'!C5-'Income Statement'!C20)/'Balance Sheet'!C33</f>
        <v>0.067499896365015</v>
      </c>
    </row>
    <row r="46" customFormat="false" ht="15" hidden="false" customHeight="false" outlineLevel="0" collapsed="false">
      <c r="A46" s="5" t="s">
        <v>364</v>
      </c>
      <c r="B46" s="29" t="n">
        <f aca="false">'Balance Sheet'!B37/'Balance Sheet'!B58</f>
        <v>0.36973892438911</v>
      </c>
      <c r="C46" s="29" t="n">
        <f aca="false">'Balance Sheet'!C37/'Balance Sheet'!C58</f>
        <v>0.337293980712638</v>
      </c>
    </row>
    <row r="47" customFormat="false" ht="15" hidden="false" customHeight="false" outlineLevel="0" collapsed="false">
      <c r="A47" s="13" t="s">
        <v>365</v>
      </c>
      <c r="B47" s="34" t="n">
        <f aca="false">6.56*B43+3.26*B44+6.72*B45+1.05*B46</f>
        <v>2.43975895217045</v>
      </c>
      <c r="C47" s="34" t="n">
        <f aca="false">6.56*C43+3.26*C44+6.72*C45+1.05*C46</f>
        <v>2.45279033599796</v>
      </c>
    </row>
    <row r="48" customFormat="false" ht="15" hidden="false" customHeight="false" outlineLevel="0" collapsed="false">
      <c r="A48" s="5" t="s">
        <v>366</v>
      </c>
      <c r="B48" s="13" t="str">
        <f aca="false">IF(B47&gt;2.6,"Safe zone",IF(B47&gt;=1.1,"Grey zone","Distress zone"))</f>
        <v>Grey zone</v>
      </c>
      <c r="C48" s="13" t="str">
        <f aca="false">IF(C47&gt;2.6,"Safe zone",IF(C47&gt;=1.1,"Grey zone","Distress zone"))</f>
        <v>Grey zone</v>
      </c>
      <c r="D48" s="2" t="s">
        <v>367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C7430"/>
    <pageSetUpPr fitToPage="false"/>
  </sheetPr>
  <dimension ref="A1:J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16"/>
    <col collapsed="false" customWidth="true" hidden="false" outlineLevel="0" max="5" min="3" style="0" width="18"/>
    <col collapsed="false" customWidth="true" hidden="false" outlineLevel="0" max="6" min="6" style="0" width="3"/>
    <col collapsed="false" customWidth="true" hidden="false" outlineLevel="0" max="7" min="7" style="0" width="26"/>
    <col collapsed="false" customWidth="true" hidden="false" outlineLevel="0" max="8" min="8" style="0" width="14"/>
    <col collapsed="false" customWidth="true" hidden="false" outlineLevel="0" max="9" min="9" style="0" width="90"/>
  </cols>
  <sheetData>
    <row r="1" customFormat="false" ht="17.35" hidden="false" customHeight="false" outlineLevel="0" collapsed="false">
      <c r="A1" s="1" t="s">
        <v>368</v>
      </c>
    </row>
    <row r="3" customFormat="false" ht="15" hidden="false" customHeight="false" outlineLevel="0" collapsed="false">
      <c r="A3" s="5" t="s">
        <v>369</v>
      </c>
      <c r="G3" s="5" t="s">
        <v>370</v>
      </c>
      <c r="J3" s="5" t="s">
        <v>371</v>
      </c>
    </row>
    <row r="4" customFormat="false" ht="15" hidden="false" customHeight="false" outlineLevel="0" collapsed="false">
      <c r="A4" s="35" t="s">
        <v>372</v>
      </c>
      <c r="B4" s="35" t="s">
        <v>373</v>
      </c>
      <c r="C4" s="35" t="s">
        <v>374</v>
      </c>
      <c r="D4" s="35" t="s">
        <v>375</v>
      </c>
      <c r="E4" s="35" t="s">
        <v>376</v>
      </c>
      <c r="G4" s="35" t="s">
        <v>377</v>
      </c>
      <c r="H4" s="35" t="s">
        <v>3</v>
      </c>
      <c r="I4" s="35"/>
      <c r="J4" s="5" t="s">
        <v>378</v>
      </c>
    </row>
    <row r="5" customFormat="false" ht="15" hidden="false" customHeight="false" outlineLevel="0" collapsed="false">
      <c r="A5" s="5" t="s">
        <v>379</v>
      </c>
      <c r="B5" s="6" t="n">
        <v>3260.15</v>
      </c>
      <c r="C5" s="28" t="s">
        <v>380</v>
      </c>
      <c r="D5" s="6" t="n">
        <v>22904.45</v>
      </c>
      <c r="E5" s="28" t="s">
        <v>380</v>
      </c>
      <c r="G5" s="5" t="s">
        <v>381</v>
      </c>
      <c r="H5" s="6" t="n">
        <f aca="false">SLOPE(C6:C57, E6:E57)</f>
        <v>1.1954335867242</v>
      </c>
      <c r="J5" s="5" t="s">
        <v>382</v>
      </c>
    </row>
    <row r="6" customFormat="false" ht="15" hidden="false" customHeight="false" outlineLevel="0" collapsed="false">
      <c r="A6" s="5" t="s">
        <v>383</v>
      </c>
      <c r="B6" s="6" t="n">
        <v>3115.95</v>
      </c>
      <c r="C6" s="28" t="n">
        <f aca="false">(B6-B5)/B5</f>
        <v>-0.0442310936613347</v>
      </c>
      <c r="D6" s="6" t="n">
        <v>22828.55</v>
      </c>
      <c r="E6" s="28" t="n">
        <f aca="false">(D6-D5)/D5</f>
        <v>-0.00331376653881676</v>
      </c>
      <c r="G6" s="5" t="s">
        <v>384</v>
      </c>
      <c r="H6" s="6" t="n">
        <f aca="false">INTERCEPT(C6:C57, E6:E57)</f>
        <v>0.00233925462201186</v>
      </c>
      <c r="J6" s="5" t="s">
        <v>385</v>
      </c>
    </row>
    <row r="7" customFormat="false" ht="15" hidden="false" customHeight="false" outlineLevel="0" collapsed="false">
      <c r="A7" s="5" t="s">
        <v>386</v>
      </c>
      <c r="B7" s="6" t="n">
        <v>3247.3</v>
      </c>
      <c r="C7" s="28" t="n">
        <f aca="false">(B7-B6)/B6</f>
        <v>0.0421540782104977</v>
      </c>
      <c r="D7" s="6" t="n">
        <v>23851.65</v>
      </c>
      <c r="E7" s="28" t="n">
        <f aca="false">(D7-D6)/D6</f>
        <v>0.0448166878754893</v>
      </c>
      <c r="G7" s="5" t="s">
        <v>387</v>
      </c>
      <c r="H7" s="6" t="n">
        <f aca="false">CORREL(C6:C57, E6:E57)^2</f>
        <v>0.388713903170439</v>
      </c>
      <c r="J7" s="5" t="s">
        <v>388</v>
      </c>
    </row>
    <row r="8" customFormat="false" ht="15" hidden="false" customHeight="false" outlineLevel="0" collapsed="false">
      <c r="A8" s="5" t="s">
        <v>389</v>
      </c>
      <c r="B8" s="6" t="n">
        <v>3272.1</v>
      </c>
      <c r="C8" s="28" t="n">
        <f aca="false">(B8-B7)/B7</f>
        <v>0.00763711391001747</v>
      </c>
      <c r="D8" s="6" t="n">
        <v>24039.35</v>
      </c>
      <c r="E8" s="28" t="n">
        <f aca="false">(D8-D7)/D7</f>
        <v>0.00786947653516621</v>
      </c>
      <c r="G8" s="5" t="s">
        <v>390</v>
      </c>
      <c r="H8" s="6" t="n">
        <f aca="false">CORREL(C6:C57, E6:E57)</f>
        <v>0.623469247974941</v>
      </c>
      <c r="J8" s="5" t="s">
        <v>391</v>
      </c>
    </row>
    <row r="9" customFormat="false" ht="15" hidden="false" customHeight="false" outlineLevel="0" collapsed="false">
      <c r="A9" s="5" t="s">
        <v>392</v>
      </c>
      <c r="B9" s="6" t="n">
        <v>3329.8</v>
      </c>
      <c r="C9" s="28" t="n">
        <f aca="false">(B9-B8)/B8</f>
        <v>0.0176339353931727</v>
      </c>
      <c r="D9" s="6" t="n">
        <v>24346.7</v>
      </c>
      <c r="E9" s="28" t="n">
        <f aca="false">(D9-D8)/D8</f>
        <v>0.0127852874557757</v>
      </c>
      <c r="G9" s="5" t="s">
        <v>393</v>
      </c>
      <c r="H9" s="6" t="n">
        <f aca="false">COUNT(C6:C57)</f>
        <v>52</v>
      </c>
      <c r="J9" s="5" t="s">
        <v>394</v>
      </c>
    </row>
    <row r="10" customFormat="false" ht="15" hidden="false" customHeight="false" outlineLevel="0" collapsed="false">
      <c r="A10" s="5" t="s">
        <v>395</v>
      </c>
      <c r="B10" s="6" t="n">
        <v>3443.9</v>
      </c>
      <c r="C10" s="28" t="n">
        <f aca="false">(B10-B9)/B9</f>
        <v>0.0342663223016397</v>
      </c>
      <c r="D10" s="6" t="n">
        <v>24008</v>
      </c>
      <c r="E10" s="28" t="n">
        <f aca="false">(D10-D9)/D9</f>
        <v>-0.0139115362656952</v>
      </c>
      <c r="G10" s="5" t="s">
        <v>396</v>
      </c>
      <c r="H10" s="6" t="n">
        <f aca="false">AVERAGE(C6:C57)</f>
        <v>0.00192694905810877</v>
      </c>
      <c r="J10" s="5" t="s">
        <v>397</v>
      </c>
    </row>
    <row r="11" customFormat="false" ht="15" hidden="false" customHeight="false" outlineLevel="0" collapsed="false">
      <c r="A11" s="5" t="s">
        <v>398</v>
      </c>
      <c r="B11" s="6" t="n">
        <v>3604.7</v>
      </c>
      <c r="C11" s="28" t="n">
        <f aca="false">(B11-B10)/B10</f>
        <v>0.0466912511977699</v>
      </c>
      <c r="D11" s="6" t="n">
        <v>25019.8</v>
      </c>
      <c r="E11" s="28" t="n">
        <f aca="false">(D11-D10)/D10</f>
        <v>0.0421442852382539</v>
      </c>
      <c r="G11" s="5" t="s">
        <v>399</v>
      </c>
      <c r="H11" s="6" t="n">
        <f aca="false">AVERAGE(E6:E57)</f>
        <v>-0.000344900434856371</v>
      </c>
      <c r="J11" s="5" t="s">
        <v>400</v>
      </c>
    </row>
    <row r="12" customFormat="false" ht="15" hidden="false" customHeight="false" outlineLevel="0" collapsed="false">
      <c r="A12" s="5" t="s">
        <v>401</v>
      </c>
      <c r="B12" s="6" t="n">
        <v>3599.9</v>
      </c>
      <c r="C12" s="28" t="n">
        <f aca="false">(B12-B11)/B11</f>
        <v>-0.00133159486226308</v>
      </c>
      <c r="D12" s="6" t="n">
        <v>24853.15</v>
      </c>
      <c r="E12" s="28" t="n">
        <f aca="false">(D12-D11)/D11</f>
        <v>-0.00666072470603274</v>
      </c>
      <c r="G12" s="5" t="s">
        <v>402</v>
      </c>
      <c r="H12" s="6" t="n">
        <f aca="false">STDEV(C6:C57)</f>
        <v>0.0326186164378562</v>
      </c>
      <c r="J12" s="5" t="s">
        <v>403</v>
      </c>
    </row>
    <row r="13" customFormat="false" ht="15" hidden="false" customHeight="false" outlineLevel="0" collapsed="false">
      <c r="A13" s="5" t="s">
        <v>404</v>
      </c>
      <c r="B13" s="6" t="n">
        <v>3675.1</v>
      </c>
      <c r="C13" s="28" t="n">
        <f aca="false">(B13-B12)/B12</f>
        <v>0.0208894691519208</v>
      </c>
      <c r="D13" s="6" t="n">
        <v>24750.7</v>
      </c>
      <c r="E13" s="28" t="n">
        <f aca="false">(D13-D12)/D12</f>
        <v>-0.00412221388435674</v>
      </c>
      <c r="G13" s="5" t="s">
        <v>405</v>
      </c>
      <c r="H13" s="6" t="n">
        <f aca="false">STDEV(E6:E57)</f>
        <v>0.0170119900313502</v>
      </c>
      <c r="J13" s="5" t="s">
        <v>406</v>
      </c>
    </row>
    <row r="14" customFormat="false" ht="15" hidden="false" customHeight="false" outlineLevel="0" collapsed="false">
      <c r="A14" s="5" t="s">
        <v>407</v>
      </c>
      <c r="B14" s="6" t="n">
        <v>3656.3</v>
      </c>
      <c r="C14" s="28" t="n">
        <f aca="false">(B14-B13)/B13</f>
        <v>-0.00511550706103228</v>
      </c>
      <c r="D14" s="6" t="n">
        <v>25003.05</v>
      </c>
      <c r="E14" s="28" t="n">
        <f aca="false">(D14-D13)/D13</f>
        <v>0.0101956712335408</v>
      </c>
      <c r="G14" s="5" t="s">
        <v>408</v>
      </c>
      <c r="H14" s="6" t="n">
        <f aca="false">H5</f>
        <v>1.1954335867242</v>
      </c>
    </row>
    <row r="15" customFormat="false" ht="15" hidden="false" customHeight="false" outlineLevel="0" collapsed="false">
      <c r="A15" s="5" t="s">
        <v>409</v>
      </c>
      <c r="B15" s="6" t="n">
        <v>3587.4</v>
      </c>
      <c r="C15" s="28" t="n">
        <f aca="false">(B15-B14)/B14</f>
        <v>-0.0188441867461642</v>
      </c>
      <c r="D15" s="6" t="n">
        <v>24718.6</v>
      </c>
      <c r="E15" s="28" t="n">
        <f aca="false">(D15-D14)/D14</f>
        <v>-0.0113766120533295</v>
      </c>
      <c r="G15" s="5" t="s">
        <v>410</v>
      </c>
      <c r="H15" s="6" t="n">
        <f aca="false">1/3 + 2/3*H14</f>
        <v>1.13028905781613</v>
      </c>
      <c r="J15" s="5" t="s">
        <v>411</v>
      </c>
    </row>
    <row r="16" customFormat="false" ht="15" hidden="false" customHeight="false" outlineLevel="0" collapsed="false">
      <c r="A16" s="5" t="s">
        <v>412</v>
      </c>
      <c r="B16" s="6" t="n">
        <v>3662</v>
      </c>
      <c r="C16" s="28" t="n">
        <f aca="false">(B16-B15)/B15</f>
        <v>0.020795004738808</v>
      </c>
      <c r="D16" s="6" t="n">
        <v>25112.4</v>
      </c>
      <c r="E16" s="28" t="n">
        <f aca="false">(D16-D15)/D15</f>
        <v>0.0159313229713658</v>
      </c>
      <c r="G16" s="5" t="s">
        <v>413</v>
      </c>
      <c r="H16" s="6" t="n">
        <f aca="false">H15</f>
        <v>1.13028905781613</v>
      </c>
      <c r="J16" s="5" t="s">
        <v>414</v>
      </c>
    </row>
    <row r="17" customFormat="false" ht="15" hidden="false" customHeight="false" outlineLevel="0" collapsed="false">
      <c r="A17" s="5" t="s">
        <v>415</v>
      </c>
      <c r="B17" s="6" t="n">
        <v>3679.2</v>
      </c>
      <c r="C17" s="28" t="n">
        <f aca="false">(B17-B16)/B16</f>
        <v>0.00469688694702343</v>
      </c>
      <c r="D17" s="6" t="n">
        <v>25637.8</v>
      </c>
      <c r="E17" s="28" t="n">
        <f aca="false">(D17-D16)/D16</f>
        <v>0.0209219349803284</v>
      </c>
    </row>
    <row r="18" customFormat="false" ht="15" hidden="false" customHeight="false" outlineLevel="0" collapsed="false">
      <c r="A18" s="5" t="s">
        <v>416</v>
      </c>
      <c r="B18" s="6" t="n">
        <v>3594.6</v>
      </c>
      <c r="C18" s="28" t="n">
        <f aca="false">(B18-B17)/B17</f>
        <v>-0.0229941291585127</v>
      </c>
      <c r="D18" s="6" t="n">
        <v>25461</v>
      </c>
      <c r="E18" s="28" t="n">
        <f aca="false">(D18-D17)/D17</f>
        <v>-0.00689606752529465</v>
      </c>
    </row>
    <row r="19" customFormat="false" ht="15" hidden="false" customHeight="false" outlineLevel="0" collapsed="false">
      <c r="A19" s="5" t="s">
        <v>417</v>
      </c>
      <c r="B19" s="6" t="n">
        <v>3540.6</v>
      </c>
      <c r="C19" s="28" t="n">
        <f aca="false">(B19-B18)/B18</f>
        <v>-0.0150225338007011</v>
      </c>
      <c r="D19" s="6" t="n">
        <v>25149.85</v>
      </c>
      <c r="E19" s="28" t="n">
        <f aca="false">(D19-D18)/D18</f>
        <v>-0.0122206511920192</v>
      </c>
    </row>
    <row r="20" customFormat="false" ht="15" hidden="false" customHeight="false" outlineLevel="0" collapsed="false">
      <c r="A20" s="5" t="s">
        <v>418</v>
      </c>
      <c r="B20" s="6" t="n">
        <v>3464.8</v>
      </c>
      <c r="C20" s="28" t="n">
        <f aca="false">(B20-B19)/B19</f>
        <v>-0.0214088007682313</v>
      </c>
      <c r="D20" s="6" t="n">
        <v>24968.4</v>
      </c>
      <c r="E20" s="28" t="n">
        <f aca="false">(D20-D19)/D19</f>
        <v>-0.00721475475996863</v>
      </c>
    </row>
    <row r="21" customFormat="false" ht="15" hidden="false" customHeight="false" outlineLevel="0" collapsed="false">
      <c r="A21" s="5" t="s">
        <v>419</v>
      </c>
      <c r="B21" s="6" t="n">
        <v>3442.9</v>
      </c>
      <c r="C21" s="28" t="n">
        <f aca="false">(B21-B20)/B20</f>
        <v>-0.00632071115215888</v>
      </c>
      <c r="D21" s="6" t="n">
        <v>24837</v>
      </c>
      <c r="E21" s="28" t="n">
        <f aca="false">(D21-D20)/D20</f>
        <v>-0.0052626519921181</v>
      </c>
    </row>
    <row r="22" customFormat="false" ht="15" hidden="false" customHeight="false" outlineLevel="0" collapsed="false">
      <c r="A22" s="5" t="s">
        <v>420</v>
      </c>
      <c r="B22" s="6" t="n">
        <v>3587.3</v>
      </c>
      <c r="C22" s="28" t="n">
        <f aca="false">(B22-B21)/B21</f>
        <v>0.0419413866217433</v>
      </c>
      <c r="D22" s="6" t="n">
        <v>24565.35</v>
      </c>
      <c r="E22" s="28" t="n">
        <f aca="false">(D22-D21)/D21</f>
        <v>-0.010937311269477</v>
      </c>
    </row>
    <row r="23" customFormat="false" ht="15" hidden="false" customHeight="false" outlineLevel="0" collapsed="false">
      <c r="A23" s="5" t="s">
        <v>421</v>
      </c>
      <c r="B23" s="6" t="n">
        <v>3607.6</v>
      </c>
      <c r="C23" s="28" t="n">
        <f aca="false">(B23-B22)/B22</f>
        <v>0.00565885206143889</v>
      </c>
      <c r="D23" s="6" t="n">
        <v>24363.3</v>
      </c>
      <c r="E23" s="28" t="n">
        <f aca="false">(D23-D22)/D22</f>
        <v>-0.00822499984734593</v>
      </c>
    </row>
    <row r="24" customFormat="false" ht="15" hidden="false" customHeight="false" outlineLevel="0" collapsed="false">
      <c r="A24" s="5" t="s">
        <v>422</v>
      </c>
      <c r="B24" s="6" t="n">
        <v>3677</v>
      </c>
      <c r="C24" s="28" t="n">
        <f aca="false">(B24-B23)/B23</f>
        <v>0.019237165982925</v>
      </c>
      <c r="D24" s="6" t="n">
        <v>24631.3</v>
      </c>
      <c r="E24" s="28" t="n">
        <f aca="false">(D24-D23)/D23</f>
        <v>0.0110001518677683</v>
      </c>
    </row>
    <row r="25" customFormat="false" ht="15" hidden="false" customHeight="false" outlineLevel="0" collapsed="false">
      <c r="A25" s="5" t="s">
        <v>423</v>
      </c>
      <c r="B25" s="6" t="n">
        <v>3595.8</v>
      </c>
      <c r="C25" s="28" t="n">
        <f aca="false">(B25-B24)/B24</f>
        <v>-0.0220832200163176</v>
      </c>
      <c r="D25" s="6" t="n">
        <v>24870.1</v>
      </c>
      <c r="E25" s="28" t="n">
        <f aca="false">(D25-D24)/D24</f>
        <v>0.00969498158846668</v>
      </c>
    </row>
    <row r="26" customFormat="false" ht="15" hidden="false" customHeight="false" outlineLevel="0" collapsed="false">
      <c r="A26" s="5" t="s">
        <v>424</v>
      </c>
      <c r="B26" s="6" t="n">
        <v>3601</v>
      </c>
      <c r="C26" s="28" t="n">
        <f aca="false">(B26-B25)/B25</f>
        <v>0.00144613159797537</v>
      </c>
      <c r="D26" s="6" t="n">
        <v>24426.85</v>
      </c>
      <c r="E26" s="28" t="n">
        <f aca="false">(D26-D25)/D25</f>
        <v>-0.0178226062621381</v>
      </c>
    </row>
    <row r="27" customFormat="false" ht="15" hidden="false" customHeight="false" outlineLevel="0" collapsed="false">
      <c r="A27" s="5" t="s">
        <v>425</v>
      </c>
      <c r="B27" s="6" t="n">
        <v>3553.6</v>
      </c>
      <c r="C27" s="28" t="n">
        <f aca="false">(B27-B26)/B26</f>
        <v>-0.0131630102749237</v>
      </c>
      <c r="D27" s="6" t="n">
        <v>24741</v>
      </c>
      <c r="E27" s="28" t="n">
        <f aca="false">(D27-D26)/D26</f>
        <v>0.0128608477965846</v>
      </c>
    </row>
    <row r="28" customFormat="false" ht="15" hidden="false" customHeight="false" outlineLevel="0" collapsed="false">
      <c r="A28" s="5" t="s">
        <v>426</v>
      </c>
      <c r="B28" s="6" t="n">
        <v>3579.8</v>
      </c>
      <c r="C28" s="28" t="n">
        <f aca="false">(B28-B27)/B27</f>
        <v>0.0073728050427736</v>
      </c>
      <c r="D28" s="6" t="n">
        <v>25114</v>
      </c>
      <c r="E28" s="28" t="n">
        <f aca="false">(D28-D27)/D27</f>
        <v>0.0150761893213694</v>
      </c>
    </row>
    <row r="29" customFormat="false" ht="15" hidden="false" customHeight="false" outlineLevel="0" collapsed="false">
      <c r="A29" s="5" t="s">
        <v>427</v>
      </c>
      <c r="B29" s="6" t="n">
        <v>3675.4</v>
      </c>
      <c r="C29" s="28" t="n">
        <f aca="false">(B29-B28)/B28</f>
        <v>0.0267054025364545</v>
      </c>
      <c r="D29" s="6" t="n">
        <v>25327.05</v>
      </c>
      <c r="E29" s="28" t="n">
        <f aca="false">(D29-D28)/D28</f>
        <v>0.00848331607868118</v>
      </c>
    </row>
    <row r="30" customFormat="false" ht="15" hidden="false" customHeight="false" outlineLevel="0" collapsed="false">
      <c r="A30" s="5" t="s">
        <v>428</v>
      </c>
      <c r="B30" s="6" t="n">
        <v>3729.5</v>
      </c>
      <c r="C30" s="28" t="n">
        <f aca="false">(B30-B29)/B29</f>
        <v>0.0147194863144147</v>
      </c>
      <c r="D30" s="6" t="n">
        <v>24654.7</v>
      </c>
      <c r="E30" s="28" t="n">
        <f aca="false">(D30-D29)/D29</f>
        <v>-0.0265467158630791</v>
      </c>
    </row>
    <row r="31" customFormat="false" ht="15" hidden="false" customHeight="false" outlineLevel="0" collapsed="false">
      <c r="A31" s="5" t="s">
        <v>429</v>
      </c>
      <c r="B31" s="6" t="n">
        <v>3733.1</v>
      </c>
      <c r="C31" s="28" t="n">
        <f aca="false">(B31-B30)/B30</f>
        <v>0.000965276846762276</v>
      </c>
      <c r="D31" s="6" t="n">
        <v>24894.25</v>
      </c>
      <c r="E31" s="28" t="n">
        <f aca="false">(D31-D30)/D30</f>
        <v>0.00971620015656241</v>
      </c>
    </row>
    <row r="32" customFormat="false" ht="15" hidden="false" customHeight="false" outlineLevel="0" collapsed="false">
      <c r="A32" s="5" t="s">
        <v>430</v>
      </c>
      <c r="B32" s="6" t="n">
        <v>3784</v>
      </c>
      <c r="C32" s="28" t="n">
        <f aca="false">(B32-B31)/B31</f>
        <v>0.0136347807452252</v>
      </c>
      <c r="D32" s="6" t="n">
        <v>25285.35</v>
      </c>
      <c r="E32" s="28" t="n">
        <f aca="false">(D32-D31)/D31</f>
        <v>0.0157104552256043</v>
      </c>
    </row>
    <row r="33" customFormat="false" ht="15" hidden="false" customHeight="false" outlineLevel="0" collapsed="false">
      <c r="A33" s="5" t="s">
        <v>431</v>
      </c>
      <c r="B33" s="6" t="n">
        <v>3839.4</v>
      </c>
      <c r="C33" s="28" t="n">
        <f aca="false">(B33-B32)/B32</f>
        <v>0.0146405919661734</v>
      </c>
      <c r="D33" s="6" t="n">
        <v>25709.85</v>
      </c>
      <c r="E33" s="28" t="n">
        <f aca="false">(D33-D32)/D32</f>
        <v>0.0167883774596753</v>
      </c>
    </row>
    <row r="34" customFormat="false" ht="15" hidden="false" customHeight="false" outlineLevel="0" collapsed="false">
      <c r="A34" s="5" t="s">
        <v>432</v>
      </c>
      <c r="B34" s="6" t="n">
        <v>3904.9</v>
      </c>
      <c r="C34" s="28" t="n">
        <f aca="false">(B34-B33)/B33</f>
        <v>0.0170599572849924</v>
      </c>
      <c r="D34" s="6" t="n">
        <v>25795.15</v>
      </c>
      <c r="E34" s="28" t="n">
        <f aca="false">(D34-D33)/D33</f>
        <v>0.00331779454178079</v>
      </c>
    </row>
    <row r="35" customFormat="false" ht="15" hidden="false" customHeight="false" outlineLevel="0" collapsed="false">
      <c r="A35" s="5" t="s">
        <v>433</v>
      </c>
      <c r="B35" s="6" t="n">
        <v>4030.9</v>
      </c>
      <c r="C35" s="28" t="n">
        <f aca="false">(B35-B34)/B34</f>
        <v>0.0322671515275679</v>
      </c>
      <c r="D35" s="6" t="n">
        <v>25722.1</v>
      </c>
      <c r="E35" s="28" t="n">
        <f aca="false">(D35-D34)/D34</f>
        <v>-0.00283192770734045</v>
      </c>
    </row>
    <row r="36" customFormat="false" ht="15" hidden="false" customHeight="false" outlineLevel="0" collapsed="false">
      <c r="A36" s="5" t="s">
        <v>434</v>
      </c>
      <c r="B36" s="6" t="n">
        <v>3882.5</v>
      </c>
      <c r="C36" s="28" t="n">
        <f aca="false">(B36-B35)/B35</f>
        <v>-0.0368155994939096</v>
      </c>
      <c r="D36" s="6" t="n">
        <v>25492.3</v>
      </c>
      <c r="E36" s="28" t="n">
        <f aca="false">(D36-D35)/D35</f>
        <v>-0.00893395173799959</v>
      </c>
    </row>
    <row r="37" customFormat="false" ht="15" hidden="false" customHeight="false" outlineLevel="0" collapsed="false">
      <c r="A37" s="5" t="s">
        <v>435</v>
      </c>
      <c r="B37" s="6" t="n">
        <v>4004.4</v>
      </c>
      <c r="C37" s="28" t="n">
        <f aca="false">(B37-B36)/B36</f>
        <v>0.0313972955569865</v>
      </c>
      <c r="D37" s="6" t="n">
        <v>25910.05</v>
      </c>
      <c r="E37" s="28" t="n">
        <f aca="false">(D37-D36)/D36</f>
        <v>0.0163873012635188</v>
      </c>
    </row>
    <row r="38" customFormat="false" ht="15" hidden="false" customHeight="false" outlineLevel="0" collapsed="false">
      <c r="A38" s="5" t="s">
        <v>436</v>
      </c>
      <c r="B38" s="6" t="n">
        <v>4024.9</v>
      </c>
      <c r="C38" s="28" t="n">
        <f aca="false">(B38-B37)/B37</f>
        <v>0.00511936869443612</v>
      </c>
      <c r="D38" s="6" t="n">
        <v>26068.15</v>
      </c>
      <c r="E38" s="28" t="n">
        <f aca="false">(D38-D37)/D37</f>
        <v>0.00610187938657016</v>
      </c>
    </row>
    <row r="39" customFormat="false" ht="15" hidden="false" customHeight="false" outlineLevel="0" collapsed="false">
      <c r="A39" s="5" t="s">
        <v>437</v>
      </c>
      <c r="B39" s="6" t="n">
        <v>4069.6</v>
      </c>
      <c r="C39" s="28" t="n">
        <f aca="false">(B39-B38)/B38</f>
        <v>0.011105865984248</v>
      </c>
      <c r="D39" s="6" t="n">
        <v>26202.95</v>
      </c>
      <c r="E39" s="28" t="n">
        <f aca="false">(D39-D38)/D38</f>
        <v>0.00517106123756382</v>
      </c>
    </row>
    <row r="40" customFormat="false" ht="15" hidden="false" customHeight="false" outlineLevel="0" collapsed="false">
      <c r="A40" s="5" t="s">
        <v>438</v>
      </c>
      <c r="B40" s="6" t="n">
        <v>4038.2</v>
      </c>
      <c r="C40" s="28" t="n">
        <f aca="false">(B40-B39)/B39</f>
        <v>-0.00771574601926482</v>
      </c>
      <c r="D40" s="6" t="n">
        <v>26186.45</v>
      </c>
      <c r="E40" s="28" t="n">
        <f aca="false">(D40-D39)/D39</f>
        <v>-0.000629700091020286</v>
      </c>
    </row>
    <row r="41" customFormat="false" ht="15" hidden="false" customHeight="false" outlineLevel="0" collapsed="false">
      <c r="A41" s="5" t="s">
        <v>439</v>
      </c>
      <c r="B41" s="6" t="n">
        <v>4074.1</v>
      </c>
      <c r="C41" s="28" t="n">
        <f aca="false">(B41-B40)/B40</f>
        <v>0.00889009954930417</v>
      </c>
      <c r="D41" s="6" t="n">
        <v>26046.95</v>
      </c>
      <c r="E41" s="28" t="n">
        <f aca="false">(D41-D40)/D40</f>
        <v>-0.00532718256961138</v>
      </c>
    </row>
    <row r="42" customFormat="false" ht="15" hidden="false" customHeight="false" outlineLevel="0" collapsed="false">
      <c r="A42" s="5" t="s">
        <v>440</v>
      </c>
      <c r="B42" s="6" t="n">
        <v>4073.5</v>
      </c>
      <c r="C42" s="28" t="n">
        <f aca="false">(B42-B41)/B41</f>
        <v>-0.000147271790088586</v>
      </c>
      <c r="D42" s="6" t="n">
        <v>25966.4</v>
      </c>
      <c r="E42" s="28" t="n">
        <f aca="false">(D42-D41)/D41</f>
        <v>-0.00309249259510228</v>
      </c>
    </row>
    <row r="43" customFormat="false" ht="15" hidden="false" customHeight="false" outlineLevel="0" collapsed="false">
      <c r="A43" s="5" t="s">
        <v>441</v>
      </c>
      <c r="B43" s="6" t="n">
        <v>4047.3</v>
      </c>
      <c r="C43" s="28" t="n">
        <f aca="false">(B43-B42)/B42</f>
        <v>-0.00643181539216885</v>
      </c>
      <c r="D43" s="6" t="n">
        <v>26042.3</v>
      </c>
      <c r="E43" s="28" t="n">
        <f aca="false">(D43-D42)/D42</f>
        <v>0.00292300819520603</v>
      </c>
    </row>
    <row r="44" customFormat="false" ht="15" hidden="false" customHeight="false" outlineLevel="0" collapsed="false">
      <c r="A44" s="5" t="s">
        <v>442</v>
      </c>
      <c r="B44" s="6" t="n">
        <v>4163.4</v>
      </c>
      <c r="C44" s="28" t="n">
        <f aca="false">(B44-B43)/B43</f>
        <v>0.0286857905270179</v>
      </c>
      <c r="D44" s="6" t="n">
        <v>26328.55</v>
      </c>
      <c r="E44" s="28" t="n">
        <f aca="false">(D44-D43)/D43</f>
        <v>0.0109917326810612</v>
      </c>
    </row>
    <row r="45" customFormat="false" ht="15" hidden="false" customHeight="false" outlineLevel="0" collapsed="false">
      <c r="A45" s="5" t="s">
        <v>443</v>
      </c>
      <c r="B45" s="6" t="n">
        <v>4025.2</v>
      </c>
      <c r="C45" s="28" t="n">
        <f aca="false">(B45-B44)/B44</f>
        <v>-0.033194024114906</v>
      </c>
      <c r="D45" s="6" t="n">
        <v>25683.3</v>
      </c>
      <c r="E45" s="28" t="n">
        <f aca="false">(D45-D44)/D44</f>
        <v>-0.024507616256877</v>
      </c>
    </row>
    <row r="46" customFormat="false" ht="15" hidden="false" customHeight="false" outlineLevel="0" collapsed="false">
      <c r="A46" s="5" t="s">
        <v>444</v>
      </c>
      <c r="B46" s="6" t="n">
        <v>3856.4</v>
      </c>
      <c r="C46" s="28" t="n">
        <f aca="false">(B46-B45)/B45</f>
        <v>-0.0419358044320778</v>
      </c>
      <c r="D46" s="6" t="n">
        <v>25694.35</v>
      </c>
      <c r="E46" s="28" t="n">
        <f aca="false">(D46-D45)/D45</f>
        <v>0.000430240662220169</v>
      </c>
    </row>
    <row r="47" customFormat="false" ht="15" hidden="false" customHeight="false" outlineLevel="0" collapsed="false">
      <c r="A47" s="5" t="s">
        <v>445</v>
      </c>
      <c r="B47" s="6" t="n">
        <v>3743.8</v>
      </c>
      <c r="C47" s="28" t="n">
        <f aca="false">(B47-B46)/B46</f>
        <v>-0.029198215952702</v>
      </c>
      <c r="D47" s="6" t="n">
        <v>25048.65</v>
      </c>
      <c r="E47" s="28" t="n">
        <f aca="false">(D47-D46)/D46</f>
        <v>-0.0251300383158164</v>
      </c>
    </row>
    <row r="48" customFormat="false" ht="15" hidden="false" customHeight="false" outlineLevel="0" collapsed="false">
      <c r="A48" s="5" t="s">
        <v>446</v>
      </c>
      <c r="B48" s="6" t="n">
        <v>3932.3</v>
      </c>
      <c r="C48" s="28" t="n">
        <f aca="false">(B48-B47)/B47</f>
        <v>0.0503499118542657</v>
      </c>
      <c r="D48" s="6" t="n">
        <v>25320.65</v>
      </c>
      <c r="E48" s="28" t="n">
        <f aca="false">(D48-D47)/D47</f>
        <v>0.0108588686416234</v>
      </c>
    </row>
    <row r="49" customFormat="false" ht="15" hidden="false" customHeight="false" outlineLevel="0" collapsed="false">
      <c r="A49" s="5" t="s">
        <v>447</v>
      </c>
      <c r="B49" s="6" t="n">
        <v>4068.1</v>
      </c>
      <c r="C49" s="28" t="n">
        <f aca="false">(B49-B48)/B48</f>
        <v>0.0345344963507361</v>
      </c>
      <c r="D49" s="6" t="n">
        <v>25693.7</v>
      </c>
      <c r="E49" s="28" t="n">
        <f aca="false">(D49-D48)/D48</f>
        <v>0.0147330341045747</v>
      </c>
    </row>
    <row r="50" customFormat="false" ht="15" hidden="false" customHeight="false" outlineLevel="0" collapsed="false">
      <c r="A50" s="5" t="s">
        <v>448</v>
      </c>
      <c r="B50" s="6" t="n">
        <v>4173.9</v>
      </c>
      <c r="C50" s="28" t="n">
        <f aca="false">(B50-B49)/B49</f>
        <v>0.0260072269609891</v>
      </c>
      <c r="D50" s="6" t="n">
        <v>25471.1</v>
      </c>
      <c r="E50" s="28" t="n">
        <f aca="false">(D50-D49)/D49</f>
        <v>-0.00866360236166851</v>
      </c>
    </row>
    <row r="51" customFormat="false" ht="15" hidden="false" customHeight="false" outlineLevel="0" collapsed="false">
      <c r="A51" s="5" t="s">
        <v>449</v>
      </c>
      <c r="B51" s="6" t="n">
        <v>4380.6</v>
      </c>
      <c r="C51" s="28" t="n">
        <f aca="false">(B51-B50)/B50</f>
        <v>0.0495220297563432</v>
      </c>
      <c r="D51" s="6" t="n">
        <v>25571.25</v>
      </c>
      <c r="E51" s="28" t="n">
        <f aca="false">(D51-D50)/D50</f>
        <v>0.00393190714181961</v>
      </c>
    </row>
    <row r="52" customFormat="false" ht="15" hidden="false" customHeight="false" outlineLevel="0" collapsed="false">
      <c r="A52" s="5" t="s">
        <v>450</v>
      </c>
      <c r="B52" s="6" t="n">
        <v>4278.3</v>
      </c>
      <c r="C52" s="28" t="n">
        <f aca="false">(B52-B51)/B51</f>
        <v>-0.0233529653472128</v>
      </c>
      <c r="D52" s="6" t="n">
        <v>25178.65</v>
      </c>
      <c r="E52" s="28" t="n">
        <f aca="false">(D52-D51)/D51</f>
        <v>-0.0153531798406413</v>
      </c>
    </row>
    <row r="53" customFormat="false" ht="15" hidden="false" customHeight="false" outlineLevel="0" collapsed="false">
      <c r="A53" s="5" t="s">
        <v>451</v>
      </c>
      <c r="B53" s="6" t="n">
        <v>3949.8</v>
      </c>
      <c r="C53" s="28" t="n">
        <f aca="false">(B53-B52)/B52</f>
        <v>-0.0767828343033448</v>
      </c>
      <c r="D53" s="6" t="n">
        <v>24450.45</v>
      </c>
      <c r="E53" s="28" t="n">
        <f aca="false">(D53-D52)/D52</f>
        <v>-0.0289213281887631</v>
      </c>
    </row>
    <row r="54" customFormat="false" ht="15" hidden="false" customHeight="false" outlineLevel="0" collapsed="false">
      <c r="A54" s="5" t="s">
        <v>452</v>
      </c>
      <c r="B54" s="6" t="n">
        <v>3439</v>
      </c>
      <c r="C54" s="28" t="n">
        <f aca="false">(B54-B53)/B53</f>
        <v>-0.12932300369639</v>
      </c>
      <c r="D54" s="6" t="n">
        <v>23151.1</v>
      </c>
      <c r="E54" s="28" t="n">
        <f aca="false">(D54-D53)/D53</f>
        <v>-0.053142171207483</v>
      </c>
    </row>
    <row r="55" customFormat="false" ht="15" hidden="false" customHeight="false" outlineLevel="0" collapsed="false">
      <c r="A55" s="5" t="s">
        <v>453</v>
      </c>
      <c r="B55" s="6" t="n">
        <v>3434.8</v>
      </c>
      <c r="C55" s="28" t="n">
        <f aca="false">(B55-B54)/B54</f>
        <v>-0.0012212852573422</v>
      </c>
      <c r="D55" s="6" t="n">
        <v>23114.5</v>
      </c>
      <c r="E55" s="28" t="n">
        <f aca="false">(D55-D54)/D54</f>
        <v>-0.00158091840128541</v>
      </c>
    </row>
    <row r="56" customFormat="false" ht="15" hidden="false" customHeight="false" outlineLevel="0" collapsed="false">
      <c r="A56" s="5" t="s">
        <v>454</v>
      </c>
      <c r="B56" s="6" t="n">
        <v>3564.1</v>
      </c>
      <c r="C56" s="28" t="n">
        <f aca="false">(B56-B55)/B55</f>
        <v>0.0376441131943635</v>
      </c>
      <c r="D56" s="6" t="n">
        <v>22819.6</v>
      </c>
      <c r="E56" s="28" t="n">
        <f aca="false">(D56-D55)/D55</f>
        <v>-0.0127582253563781</v>
      </c>
    </row>
    <row r="57" customFormat="false" ht="15" hidden="false" customHeight="false" outlineLevel="0" collapsed="false">
      <c r="A57" s="5" t="s">
        <v>455</v>
      </c>
      <c r="B57" s="6" t="n">
        <v>3504.1</v>
      </c>
      <c r="C57" s="28" t="n">
        <f aca="false">(B57-B56)/B56</f>
        <v>-0.0168345444852838</v>
      </c>
      <c r="D57" s="6" t="n">
        <v>22331.4</v>
      </c>
      <c r="E57" s="28" t="n">
        <f aca="false">(D57-D56)/D56</f>
        <v>-0.0213938894634436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C7430"/>
    <pageSetUpPr fitToPage="false"/>
  </sheetPr>
  <dimension ref="A1:C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6"/>
    <col collapsed="false" customWidth="true" hidden="false" outlineLevel="0" max="3" min="3" style="0" width="54"/>
  </cols>
  <sheetData>
    <row r="1" customFormat="false" ht="17.35" hidden="false" customHeight="false" outlineLevel="0" collapsed="false">
      <c r="A1" s="1" t="s">
        <v>456</v>
      </c>
    </row>
    <row r="2" customFormat="false" ht="15" hidden="false" customHeight="false" outlineLevel="0" collapsed="false">
      <c r="A2" s="2" t="s">
        <v>457</v>
      </c>
    </row>
    <row r="3" customFormat="false" ht="15" hidden="false" customHeight="false" outlineLevel="0" collapsed="false">
      <c r="A3" s="3" t="s">
        <v>64</v>
      </c>
      <c r="B3" s="4" t="s">
        <v>3</v>
      </c>
      <c r="C3" s="4" t="s">
        <v>458</v>
      </c>
    </row>
    <row r="4" customFormat="false" ht="15" hidden="false" customHeight="false" outlineLevel="0" collapsed="false">
      <c r="A4" s="5" t="s">
        <v>80</v>
      </c>
      <c r="B4" s="28" t="n">
        <f aca="false">'Assumptions &amp; Drivers'!B14</f>
        <v>0.07</v>
      </c>
      <c r="C4" s="2" t="s">
        <v>459</v>
      </c>
    </row>
    <row r="5" customFormat="false" ht="15" hidden="false" customHeight="false" outlineLevel="0" collapsed="false">
      <c r="A5" s="5" t="s">
        <v>460</v>
      </c>
      <c r="B5" s="29" t="n">
        <f aca="false">'Beta Calculation'!H5</f>
        <v>1.1954335867242</v>
      </c>
      <c r="C5" s="2" t="s">
        <v>461</v>
      </c>
    </row>
    <row r="6" customFormat="false" ht="15" hidden="false" customHeight="false" outlineLevel="0" collapsed="false">
      <c r="A6" s="5" t="s">
        <v>462</v>
      </c>
      <c r="B6" s="29" t="n">
        <f aca="false">(1/3)*1+(2/3)*B5</f>
        <v>1.13028905781613</v>
      </c>
      <c r="C6" s="2" t="s">
        <v>463</v>
      </c>
    </row>
    <row r="7" customFormat="false" ht="15" hidden="false" customHeight="false" outlineLevel="0" collapsed="false">
      <c r="A7" s="5" t="s">
        <v>82</v>
      </c>
      <c r="B7" s="28" t="n">
        <f aca="false">'Assumptions &amp; Drivers'!B15</f>
        <v>0.055</v>
      </c>
      <c r="C7" s="2" t="s">
        <v>459</v>
      </c>
    </row>
    <row r="8" customFormat="false" ht="15" hidden="false" customHeight="false" outlineLevel="0" collapsed="false">
      <c r="A8" s="5" t="s">
        <v>464</v>
      </c>
      <c r="B8" s="28" t="n">
        <f aca="false">B4+B6*B7</f>
        <v>0.132165898179887</v>
      </c>
      <c r="C8" s="2" t="s">
        <v>465</v>
      </c>
    </row>
    <row r="9" customFormat="false" ht="15" hidden="false" customHeight="false" outlineLevel="0" collapsed="false">
      <c r="A9" s="5" t="s">
        <v>84</v>
      </c>
      <c r="B9" s="28" t="n">
        <f aca="false">'Assumptions &amp; Drivers'!B16</f>
        <v>0.078</v>
      </c>
      <c r="C9" s="2" t="s">
        <v>459</v>
      </c>
    </row>
    <row r="10" customFormat="false" ht="15" hidden="false" customHeight="false" outlineLevel="0" collapsed="false">
      <c r="A10" s="5" t="s">
        <v>86</v>
      </c>
      <c r="B10" s="28" t="n">
        <f aca="false">'Assumptions &amp; Drivers'!B17</f>
        <v>0.2517</v>
      </c>
      <c r="C10" s="2" t="s">
        <v>459</v>
      </c>
    </row>
    <row r="11" customFormat="false" ht="15" hidden="false" customHeight="false" outlineLevel="0" collapsed="false">
      <c r="A11" s="5" t="s">
        <v>466</v>
      </c>
      <c r="B11" s="28" t="n">
        <f aca="false">B9*(1-B10)</f>
        <v>0.0583674</v>
      </c>
      <c r="C11" s="2" t="s">
        <v>467</v>
      </c>
    </row>
    <row r="12" customFormat="false" ht="15" hidden="false" customHeight="false" outlineLevel="0" collapsed="false">
      <c r="A12" s="5" t="s">
        <v>468</v>
      </c>
      <c r="B12" s="7" t="n">
        <f aca="false">'Assumptions &amp; Drivers'!B10</f>
        <v>527836.905</v>
      </c>
      <c r="C12" s="2" t="s">
        <v>75</v>
      </c>
    </row>
    <row r="13" customFormat="false" ht="15" hidden="false" customHeight="false" outlineLevel="0" collapsed="false">
      <c r="A13" s="5" t="s">
        <v>469</v>
      </c>
      <c r="B13" s="7" t="n">
        <f aca="false">'Assumptions &amp; Drivers'!B18</f>
        <v>31968.09</v>
      </c>
      <c r="C13" s="2" t="s">
        <v>470</v>
      </c>
    </row>
    <row r="14" customFormat="false" ht="15" hidden="false" customHeight="false" outlineLevel="0" collapsed="false">
      <c r="A14" s="5" t="s">
        <v>471</v>
      </c>
      <c r="B14" s="8" t="n">
        <f aca="false">B12/(B12+B13)</f>
        <v>0.942894239448507</v>
      </c>
      <c r="C14" s="2" t="s">
        <v>472</v>
      </c>
    </row>
    <row r="15" customFormat="false" ht="15" hidden="false" customHeight="false" outlineLevel="0" collapsed="false">
      <c r="A15" s="5" t="s">
        <v>473</v>
      </c>
      <c r="B15" s="8" t="n">
        <f aca="false">B13/(B12+B13)</f>
        <v>0.0571057605514935</v>
      </c>
      <c r="C15" s="2"/>
    </row>
    <row r="16" customFormat="false" ht="15" hidden="false" customHeight="false" outlineLevel="0" collapsed="false">
      <c r="A16" s="13" t="s">
        <v>474</v>
      </c>
      <c r="B16" s="30" t="n">
        <f aca="false">B14*B8+B15*B11</f>
        <v>0.127951578813767</v>
      </c>
      <c r="C16" s="2" t="s">
        <v>475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C7430"/>
    <pageSetUpPr fitToPage="false"/>
  </sheetPr>
  <dimension ref="A1:L8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12" min="2" style="0" width="12"/>
  </cols>
  <sheetData>
    <row r="1" customFormat="false" ht="17.35" hidden="false" customHeight="false" outlineLevel="0" collapsed="false">
      <c r="A1" s="1" t="s">
        <v>476</v>
      </c>
    </row>
    <row r="2" customFormat="false" ht="15" hidden="false" customHeight="false" outlineLevel="0" collapsed="false">
      <c r="A2" s="2" t="s">
        <v>477</v>
      </c>
    </row>
    <row r="3" customFormat="false" ht="15" hidden="false" customHeight="false" outlineLevel="0" collapsed="false">
      <c r="A3" s="12" t="s">
        <v>478</v>
      </c>
    </row>
    <row r="4" customFormat="false" ht="15" hidden="false" customHeight="false" outlineLevel="0" collapsed="false">
      <c r="A4" s="3" t="s">
        <v>289</v>
      </c>
      <c r="B4" s="4" t="s">
        <v>118</v>
      </c>
      <c r="C4" s="4" t="s">
        <v>119</v>
      </c>
      <c r="D4" s="4" t="s">
        <v>120</v>
      </c>
      <c r="E4" s="4" t="s">
        <v>121</v>
      </c>
      <c r="F4" s="4" t="s">
        <v>122</v>
      </c>
      <c r="G4" s="4" t="s">
        <v>123</v>
      </c>
      <c r="H4" s="4" t="s">
        <v>124</v>
      </c>
      <c r="I4" s="4" t="s">
        <v>125</v>
      </c>
      <c r="J4" s="4" t="s">
        <v>126</v>
      </c>
      <c r="K4" s="4" t="s">
        <v>127</v>
      </c>
      <c r="L4" s="4" t="s">
        <v>128</v>
      </c>
    </row>
    <row r="5" customFormat="false" ht="15" hidden="false" customHeight="false" outlineLevel="0" collapsed="false">
      <c r="A5" s="5" t="s">
        <v>129</v>
      </c>
      <c r="C5" s="8" t="n">
        <f aca="false">MAX(0.04,'Assumptions &amp; Drivers'!C39+'Assumptions &amp; Drivers'!$B$32)</f>
        <v>0.09</v>
      </c>
      <c r="D5" s="8" t="n">
        <f aca="false">MAX(0.04,'Assumptions &amp; Drivers'!D39+'Assumptions &amp; Drivers'!$B$32)</f>
        <v>0.09</v>
      </c>
      <c r="E5" s="8" t="n">
        <f aca="false">MAX(0.04,'Assumptions &amp; Drivers'!E39+'Assumptions &amp; Drivers'!$B$32)</f>
        <v>0.08</v>
      </c>
      <c r="F5" s="8" t="n">
        <f aca="false">MAX(0.04,'Assumptions &amp; Drivers'!F39+'Assumptions &amp; Drivers'!$B$32)</f>
        <v>0.07</v>
      </c>
      <c r="G5" s="8" t="n">
        <f aca="false">MAX(0.04,'Assumptions &amp; Drivers'!G39+'Assumptions &amp; Drivers'!$B$32)</f>
        <v>0.06</v>
      </c>
      <c r="H5" s="8" t="n">
        <f aca="false">MAX(0.04,'Assumptions &amp; Drivers'!H39+'Assumptions &amp; Drivers'!$B$32)</f>
        <v>0.05</v>
      </c>
      <c r="I5" s="8" t="n">
        <f aca="false">MAX(0.04,'Assumptions &amp; Drivers'!I39+'Assumptions &amp; Drivers'!$B$32)</f>
        <v>0.05</v>
      </c>
      <c r="J5" s="8" t="n">
        <f aca="false">MAX(0.04,'Assumptions &amp; Drivers'!J39+'Assumptions &amp; Drivers'!$B$32)</f>
        <v>0.04</v>
      </c>
      <c r="K5" s="8" t="n">
        <f aca="false">MAX(0.04,'Assumptions &amp; Drivers'!K39+'Assumptions &amp; Drivers'!$B$32)</f>
        <v>0.04</v>
      </c>
      <c r="L5" s="8" t="n">
        <f aca="false">MAX(0.04,'Assumptions &amp; Drivers'!L39+'Assumptions &amp; Drivers'!$B$32)</f>
        <v>0.04</v>
      </c>
    </row>
    <row r="6" customFormat="false" ht="15" hidden="false" customHeight="false" outlineLevel="0" collapsed="false">
      <c r="A6" s="5" t="s">
        <v>479</v>
      </c>
      <c r="B6" s="7" t="n">
        <f aca="false">'Segments &amp; Core'!C45</f>
        <v>268590.93</v>
      </c>
      <c r="C6" s="7" t="n">
        <f aca="false">B6*(1+C5)</f>
        <v>292764.1137</v>
      </c>
      <c r="D6" s="7" t="n">
        <f aca="false">C6*(1+D5)</f>
        <v>319112.883933</v>
      </c>
      <c r="E6" s="7" t="n">
        <f aca="false">D6*(1+E5)</f>
        <v>344641.91464764</v>
      </c>
      <c r="F6" s="7" t="n">
        <f aca="false">E6*(1+F5)</f>
        <v>368766.848672975</v>
      </c>
      <c r="G6" s="7" t="n">
        <f aca="false">F6*(1+G5)</f>
        <v>390892.859593353</v>
      </c>
      <c r="H6" s="7" t="n">
        <f aca="false">G6*(1+H5)</f>
        <v>410437.502573021</v>
      </c>
      <c r="I6" s="7" t="n">
        <f aca="false">H6*(1+I5)</f>
        <v>430959.377701672</v>
      </c>
      <c r="J6" s="7" t="n">
        <f aca="false">I6*(1+J5)</f>
        <v>448197.752809739</v>
      </c>
      <c r="K6" s="7" t="n">
        <f aca="false">J6*(1+K5)</f>
        <v>466125.662922129</v>
      </c>
      <c r="L6" s="7" t="n">
        <f aca="false">K6*(1+L5)</f>
        <v>484770.689439014</v>
      </c>
    </row>
    <row r="7" customFormat="false" ht="15" hidden="false" customHeight="false" outlineLevel="0" collapsed="false">
      <c r="A7" s="5" t="s">
        <v>131</v>
      </c>
      <c r="B7" s="8" t="n">
        <f aca="false">'Segments &amp; Core'!C47</f>
        <v>0.0935217358233205</v>
      </c>
      <c r="C7" s="28" t="n">
        <f aca="false">'Assumptions &amp; Drivers'!C40+'Assumptions &amp; Drivers'!$B$33</f>
        <v>0.0885</v>
      </c>
      <c r="D7" s="28" t="n">
        <f aca="false">'Assumptions &amp; Drivers'!D40+'Assumptions &amp; Drivers'!$B$33</f>
        <v>0.0895</v>
      </c>
      <c r="E7" s="28" t="n">
        <f aca="false">'Assumptions &amp; Drivers'!E40+'Assumptions &amp; Drivers'!$B$33</f>
        <v>0.0905</v>
      </c>
      <c r="F7" s="28" t="n">
        <f aca="false">'Assumptions &amp; Drivers'!F40+'Assumptions &amp; Drivers'!$B$33</f>
        <v>0.0915</v>
      </c>
      <c r="G7" s="28" t="n">
        <f aca="false">'Assumptions &amp; Drivers'!G40+'Assumptions &amp; Drivers'!$B$33</f>
        <v>0.0925</v>
      </c>
      <c r="H7" s="28" t="n">
        <f aca="false">'Assumptions &amp; Drivers'!H40+'Assumptions &amp; Drivers'!$B$33</f>
        <v>0.0935</v>
      </c>
      <c r="I7" s="28" t="n">
        <f aca="false">'Assumptions &amp; Drivers'!I40+'Assumptions &amp; Drivers'!$B$33</f>
        <v>0.094</v>
      </c>
      <c r="J7" s="28" t="n">
        <f aca="false">'Assumptions &amp; Drivers'!J40+'Assumptions &amp; Drivers'!$B$33</f>
        <v>0.094</v>
      </c>
      <c r="K7" s="28" t="n">
        <f aca="false">'Assumptions &amp; Drivers'!K40+'Assumptions &amp; Drivers'!$B$33</f>
        <v>0.094</v>
      </c>
      <c r="L7" s="28" t="n">
        <f aca="false">'Assumptions &amp; Drivers'!L40+'Assumptions &amp; Drivers'!$B$33</f>
        <v>0.094</v>
      </c>
    </row>
    <row r="8" customFormat="false" ht="15" hidden="false" customHeight="false" outlineLevel="0" collapsed="false">
      <c r="A8" s="13" t="s">
        <v>480</v>
      </c>
      <c r="B8" s="7" t="n">
        <f aca="false">'Segments &amp; Core'!C46</f>
        <v>25119.09</v>
      </c>
      <c r="C8" s="36" t="n">
        <f aca="false">C6*C7</f>
        <v>25909.62406245</v>
      </c>
      <c r="D8" s="36" t="n">
        <f aca="false">D6*D7</f>
        <v>28560.6031120035</v>
      </c>
      <c r="E8" s="36" t="n">
        <f aca="false">E6*E7</f>
        <v>31190.0932756114</v>
      </c>
      <c r="F8" s="36" t="n">
        <f aca="false">F6*F7</f>
        <v>33742.1666535772</v>
      </c>
      <c r="G8" s="36" t="n">
        <f aca="false">G6*G7</f>
        <v>36157.5895123852</v>
      </c>
      <c r="H8" s="36" t="n">
        <f aca="false">H6*H7</f>
        <v>38375.9064905775</v>
      </c>
      <c r="I8" s="36" t="n">
        <f aca="false">I6*I7</f>
        <v>40510.1815039572</v>
      </c>
      <c r="J8" s="36" t="n">
        <f aca="false">J6*J7</f>
        <v>42130.5887641155</v>
      </c>
      <c r="K8" s="36" t="n">
        <f aca="false">K6*K7</f>
        <v>43815.8123146801</v>
      </c>
      <c r="L8" s="36" t="n">
        <f aca="false">L6*L7</f>
        <v>45568.4448072673</v>
      </c>
    </row>
    <row r="9" customFormat="false" ht="15" hidden="false" customHeight="false" outlineLevel="0" collapsed="false">
      <c r="A9" s="5" t="s">
        <v>481</v>
      </c>
      <c r="C9" s="7" t="n">
        <f aca="false">C6*'Assumptions &amp; Drivers'!$B$27</f>
        <v>4684.2258192</v>
      </c>
      <c r="D9" s="7" t="n">
        <f aca="false">D6*'Assumptions &amp; Drivers'!$B$27</f>
        <v>5105.806142928</v>
      </c>
      <c r="E9" s="7" t="n">
        <f aca="false">E6*'Assumptions &amp; Drivers'!$B$27</f>
        <v>5514.27063436224</v>
      </c>
      <c r="F9" s="7" t="n">
        <f aca="false">F6*'Assumptions &amp; Drivers'!$B$27</f>
        <v>5900.2695787676</v>
      </c>
      <c r="G9" s="7" t="n">
        <f aca="false">G6*'Assumptions &amp; Drivers'!$B$27</f>
        <v>6254.28575349366</v>
      </c>
      <c r="H9" s="7" t="n">
        <f aca="false">H6*'Assumptions &amp; Drivers'!$B$27</f>
        <v>6567.00004116834</v>
      </c>
      <c r="I9" s="7" t="n">
        <f aca="false">I6*'Assumptions &amp; Drivers'!$B$27</f>
        <v>6895.35004322676</v>
      </c>
      <c r="J9" s="7" t="n">
        <f aca="false">J6*'Assumptions &amp; Drivers'!$B$27</f>
        <v>7171.16404495583</v>
      </c>
      <c r="K9" s="7" t="n">
        <f aca="false">K6*'Assumptions &amp; Drivers'!$B$27</f>
        <v>7458.01060675406</v>
      </c>
      <c r="L9" s="7" t="n">
        <f aca="false">L6*'Assumptions &amp; Drivers'!$B$27</f>
        <v>7756.33103102422</v>
      </c>
    </row>
    <row r="10" customFormat="false" ht="15" hidden="false" customHeight="false" outlineLevel="0" collapsed="false">
      <c r="A10" s="5" t="s">
        <v>482</v>
      </c>
      <c r="C10" s="7" t="n">
        <f aca="false">C8-C9</f>
        <v>21225.39824325</v>
      </c>
      <c r="D10" s="7" t="n">
        <f aca="false">D8-D9</f>
        <v>23454.7969690755</v>
      </c>
      <c r="E10" s="7" t="n">
        <f aca="false">E8-E9</f>
        <v>25675.8226412492</v>
      </c>
      <c r="F10" s="7" t="n">
        <f aca="false">F8-F9</f>
        <v>27841.8970748096</v>
      </c>
      <c r="G10" s="7" t="n">
        <f aca="false">G8-G9</f>
        <v>29903.3037588915</v>
      </c>
      <c r="H10" s="7" t="n">
        <f aca="false">H8-H9</f>
        <v>31808.9064494091</v>
      </c>
      <c r="I10" s="7" t="n">
        <f aca="false">I8-I9</f>
        <v>33614.8314607304</v>
      </c>
      <c r="J10" s="7" t="n">
        <f aca="false">J8-J9</f>
        <v>34959.4247191597</v>
      </c>
      <c r="K10" s="7" t="n">
        <f aca="false">K8-K9</f>
        <v>36357.801707926</v>
      </c>
      <c r="L10" s="7" t="n">
        <f aca="false">L8-L9</f>
        <v>37812.1137762431</v>
      </c>
    </row>
    <row r="11" customFormat="false" ht="15" hidden="false" customHeight="false" outlineLevel="0" collapsed="false">
      <c r="A11" s="5" t="s">
        <v>483</v>
      </c>
      <c r="C11" s="7" t="n">
        <f aca="false">C10*'Assumptions &amp; Drivers'!$B$25</f>
        <v>5518.603543245</v>
      </c>
      <c r="D11" s="7" t="n">
        <f aca="false">D10*'Assumptions &amp; Drivers'!$B$25</f>
        <v>6098.24721195963</v>
      </c>
      <c r="E11" s="7" t="n">
        <f aca="false">E10*'Assumptions &amp; Drivers'!$B$25</f>
        <v>6675.71388672479</v>
      </c>
      <c r="F11" s="7" t="n">
        <f aca="false">F10*'Assumptions &amp; Drivers'!$B$25</f>
        <v>7238.8932394505</v>
      </c>
      <c r="G11" s="7" t="n">
        <f aca="false">G10*'Assumptions &amp; Drivers'!$B$25</f>
        <v>7774.8589773118</v>
      </c>
      <c r="H11" s="7" t="n">
        <f aca="false">H10*'Assumptions &amp; Drivers'!$B$25</f>
        <v>8270.31567684638</v>
      </c>
      <c r="I11" s="7" t="n">
        <f aca="false">I10*'Assumptions &amp; Drivers'!$B$25</f>
        <v>8739.85617978991</v>
      </c>
      <c r="J11" s="7" t="n">
        <f aca="false">J10*'Assumptions &amp; Drivers'!$B$25</f>
        <v>9089.45042698151</v>
      </c>
      <c r="K11" s="7" t="n">
        <f aca="false">K10*'Assumptions &amp; Drivers'!$B$25</f>
        <v>9453.02844406077</v>
      </c>
      <c r="L11" s="7" t="n">
        <f aca="false">L10*'Assumptions &amp; Drivers'!$B$25</f>
        <v>9831.1495818232</v>
      </c>
    </row>
    <row r="12" customFormat="false" ht="15" hidden="false" customHeight="false" outlineLevel="0" collapsed="false">
      <c r="A12" s="5" t="s">
        <v>484</v>
      </c>
      <c r="C12" s="7" t="n">
        <f aca="false">C10-C11</f>
        <v>15706.794700005</v>
      </c>
      <c r="D12" s="7" t="n">
        <f aca="false">D10-D11</f>
        <v>17356.5497571159</v>
      </c>
      <c r="E12" s="7" t="n">
        <f aca="false">E10-E11</f>
        <v>19000.1087545244</v>
      </c>
      <c r="F12" s="7" t="n">
        <f aca="false">F10-F11</f>
        <v>20603.0038353591</v>
      </c>
      <c r="G12" s="7" t="n">
        <f aca="false">G10-G11</f>
        <v>22128.4447815797</v>
      </c>
      <c r="H12" s="7" t="n">
        <f aca="false">H10-H11</f>
        <v>23538.5907725628</v>
      </c>
      <c r="I12" s="7" t="n">
        <f aca="false">I10-I11</f>
        <v>24874.9752809405</v>
      </c>
      <c r="J12" s="7" t="n">
        <f aca="false">J10-J11</f>
        <v>25869.9742921781</v>
      </c>
      <c r="K12" s="7" t="n">
        <f aca="false">K10-K11</f>
        <v>26904.7732638653</v>
      </c>
      <c r="L12" s="7" t="n">
        <f aca="false">L10-L11</f>
        <v>27980.9641944199</v>
      </c>
    </row>
    <row r="13" customFormat="false" ht="15" hidden="false" customHeight="false" outlineLevel="0" collapsed="false">
      <c r="A13" s="5" t="s">
        <v>485</v>
      </c>
      <c r="C13" s="7" t="n">
        <f aca="false">C6*'Assumptions &amp; Drivers'!$B$26</f>
        <v>6440.8105014</v>
      </c>
      <c r="D13" s="7" t="n">
        <f aca="false">D6*'Assumptions &amp; Drivers'!$B$26</f>
        <v>7020.483446526</v>
      </c>
      <c r="E13" s="7" t="n">
        <f aca="false">E6*'Assumptions &amp; Drivers'!$B$26</f>
        <v>7582.12212224808</v>
      </c>
      <c r="F13" s="7" t="n">
        <f aca="false">F6*'Assumptions &amp; Drivers'!$B$26</f>
        <v>8112.87067080545</v>
      </c>
      <c r="G13" s="7" t="n">
        <f aca="false">G6*'Assumptions &amp; Drivers'!$B$26</f>
        <v>8599.64291105377</v>
      </c>
      <c r="H13" s="7" t="n">
        <f aca="false">H6*'Assumptions &amp; Drivers'!$B$26</f>
        <v>9029.62505660647</v>
      </c>
      <c r="I13" s="7" t="n">
        <f aca="false">I6*'Assumptions &amp; Drivers'!$B$26</f>
        <v>9481.10630943679</v>
      </c>
      <c r="J13" s="7" t="n">
        <f aca="false">J6*'Assumptions &amp; Drivers'!$B$26</f>
        <v>9860.35056181426</v>
      </c>
      <c r="K13" s="7" t="n">
        <f aca="false">K6*'Assumptions &amp; Drivers'!$B$26</f>
        <v>10254.7645842868</v>
      </c>
      <c r="L13" s="7" t="n">
        <f aca="false">L6*'Assumptions &amp; Drivers'!$B$26</f>
        <v>10664.9551676583</v>
      </c>
    </row>
    <row r="14" customFormat="false" ht="15" hidden="false" customHeight="false" outlineLevel="0" collapsed="false">
      <c r="A14" s="5" t="s">
        <v>486</v>
      </c>
      <c r="B14" s="8" t="n">
        <f aca="false">'Assumptions &amp; Drivers'!B28</f>
        <v>0.041</v>
      </c>
      <c r="C14" s="8" t="n">
        <f aca="false">'Assumptions &amp; Drivers'!C41</f>
        <v>0.05</v>
      </c>
      <c r="D14" s="8" t="n">
        <f aca="false">'Assumptions &amp; Drivers'!D41</f>
        <v>0.055</v>
      </c>
      <c r="E14" s="8" t="n">
        <f aca="false">'Assumptions &amp; Drivers'!E41</f>
        <v>0.06</v>
      </c>
      <c r="F14" s="8" t="n">
        <f aca="false">'Assumptions &amp; Drivers'!F41</f>
        <v>0.06</v>
      </c>
      <c r="G14" s="8" t="n">
        <f aca="false">'Assumptions &amp; Drivers'!G41</f>
        <v>0.06</v>
      </c>
      <c r="H14" s="8" t="n">
        <f aca="false">'Assumptions &amp; Drivers'!H41</f>
        <v>0.06</v>
      </c>
      <c r="I14" s="8" t="n">
        <f aca="false">'Assumptions &amp; Drivers'!I41</f>
        <v>0.06</v>
      </c>
      <c r="J14" s="8" t="n">
        <f aca="false">'Assumptions &amp; Drivers'!J41</f>
        <v>0.06</v>
      </c>
      <c r="K14" s="8" t="n">
        <f aca="false">'Assumptions &amp; Drivers'!K41</f>
        <v>0.06</v>
      </c>
      <c r="L14" s="8" t="n">
        <f aca="false">'Assumptions &amp; Drivers'!L41</f>
        <v>0.06</v>
      </c>
    </row>
    <row r="15" customFormat="false" ht="15" hidden="false" customHeight="false" outlineLevel="0" collapsed="false">
      <c r="A15" s="5" t="s">
        <v>487</v>
      </c>
      <c r="B15" s="7" t="n">
        <f aca="false">B6*B14</f>
        <v>11012.22813</v>
      </c>
      <c r="C15" s="7" t="n">
        <f aca="false">C6*C14</f>
        <v>14638.205685</v>
      </c>
      <c r="D15" s="7" t="n">
        <f aca="false">D6*D14</f>
        <v>17551.208616315</v>
      </c>
      <c r="E15" s="7" t="n">
        <f aca="false">E6*E14</f>
        <v>20678.5148788584</v>
      </c>
      <c r="F15" s="7" t="n">
        <f aca="false">F6*F14</f>
        <v>22126.0109203785</v>
      </c>
      <c r="G15" s="7" t="n">
        <f aca="false">G6*G14</f>
        <v>23453.5715756012</v>
      </c>
      <c r="H15" s="7" t="n">
        <f aca="false">H6*H14</f>
        <v>24626.2501543813</v>
      </c>
      <c r="I15" s="7" t="n">
        <f aca="false">I6*I14</f>
        <v>25857.5626621003</v>
      </c>
      <c r="J15" s="7" t="n">
        <f aca="false">J6*J14</f>
        <v>26891.8651685843</v>
      </c>
      <c r="K15" s="7" t="n">
        <f aca="false">K6*K14</f>
        <v>27967.5397753277</v>
      </c>
      <c r="L15" s="7" t="n">
        <f aca="false">L6*L14</f>
        <v>29086.2413663408</v>
      </c>
    </row>
    <row r="16" customFormat="false" ht="15" hidden="false" customHeight="false" outlineLevel="0" collapsed="false">
      <c r="A16" s="5" t="s">
        <v>488</v>
      </c>
      <c r="C16" s="7" t="n">
        <f aca="false">C15-B15</f>
        <v>3625.977555</v>
      </c>
      <c r="D16" s="7" t="n">
        <f aca="false">D15-C15</f>
        <v>2913.002931315</v>
      </c>
      <c r="E16" s="7" t="n">
        <f aca="false">E15-D15</f>
        <v>3127.3062625434</v>
      </c>
      <c r="F16" s="7" t="n">
        <f aca="false">F15-E15</f>
        <v>1447.49604152009</v>
      </c>
      <c r="G16" s="7" t="n">
        <f aca="false">G15-F15</f>
        <v>1327.56065522271</v>
      </c>
      <c r="H16" s="7" t="n">
        <f aca="false">H15-G15</f>
        <v>1172.67857878006</v>
      </c>
      <c r="I16" s="7" t="n">
        <f aca="false">I15-H15</f>
        <v>1231.31250771907</v>
      </c>
      <c r="J16" s="7" t="n">
        <f aca="false">J15-I15</f>
        <v>1034.30250648401</v>
      </c>
      <c r="K16" s="7" t="n">
        <f aca="false">K15-J15</f>
        <v>1075.67460674338</v>
      </c>
      <c r="L16" s="7" t="n">
        <f aca="false">L15-K15</f>
        <v>1118.70159101311</v>
      </c>
    </row>
    <row r="17" customFormat="false" ht="15" hidden="false" customHeight="false" outlineLevel="0" collapsed="false">
      <c r="A17" s="13" t="s">
        <v>489</v>
      </c>
      <c r="C17" s="36" t="n">
        <f aca="false">C12+C9-C13-C16</f>
        <v>10324.232462805</v>
      </c>
      <c r="D17" s="36" t="n">
        <f aca="false">D12+D9-D13-D16</f>
        <v>12528.8695222029</v>
      </c>
      <c r="E17" s="36" t="n">
        <f aca="false">E12+E9-E13-E16</f>
        <v>13804.9510040952</v>
      </c>
      <c r="F17" s="36" t="n">
        <f aca="false">F12+F9-F13-F16</f>
        <v>16942.9067018012</v>
      </c>
      <c r="G17" s="36" t="n">
        <f aca="false">G12+G9-G13-G16</f>
        <v>18455.5269687969</v>
      </c>
      <c r="H17" s="36" t="n">
        <f aca="false">H12+H9-H13-H16</f>
        <v>19903.2871783446</v>
      </c>
      <c r="I17" s="36" t="n">
        <f aca="false">I12+I9-I13-I16</f>
        <v>21057.9065070114</v>
      </c>
      <c r="J17" s="36" t="n">
        <f aca="false">J12+J9-J13-J16</f>
        <v>22146.4852688357</v>
      </c>
      <c r="K17" s="36" t="n">
        <f aca="false">K12+K9-K13-K16</f>
        <v>23032.3446795891</v>
      </c>
      <c r="L17" s="36" t="n">
        <f aca="false">L12+L9-L13-L16</f>
        <v>23953.6384667727</v>
      </c>
    </row>
    <row r="18" customFormat="false" ht="15" hidden="false" customHeight="false" outlineLevel="0" collapsed="false">
      <c r="A18" s="5" t="s">
        <v>490</v>
      </c>
      <c r="C18" s="37" t="n">
        <v>1</v>
      </c>
      <c r="D18" s="37" t="n">
        <v>2</v>
      </c>
      <c r="E18" s="37" t="n">
        <v>3</v>
      </c>
      <c r="F18" s="37" t="n">
        <v>4</v>
      </c>
      <c r="G18" s="37" t="n">
        <v>5</v>
      </c>
      <c r="H18" s="37" t="n">
        <v>6</v>
      </c>
      <c r="I18" s="37" t="n">
        <v>7</v>
      </c>
      <c r="J18" s="37" t="n">
        <v>8</v>
      </c>
      <c r="K18" s="37" t="n">
        <v>9</v>
      </c>
      <c r="L18" s="37" t="n">
        <v>10</v>
      </c>
    </row>
    <row r="19" customFormat="false" ht="15" hidden="false" customHeight="false" outlineLevel="0" collapsed="false">
      <c r="A19" s="5" t="s">
        <v>491</v>
      </c>
      <c r="C19" s="29" t="n">
        <f aca="false">1/(1+$B$22)^C18</f>
        <v>0.878772013342104</v>
      </c>
      <c r="D19" s="29" t="n">
        <f aca="false">1/(1+$B$22)^D18</f>
        <v>0.772240251433336</v>
      </c>
      <c r="E19" s="29" t="n">
        <f aca="false">1/(1+$B$22)^E18</f>
        <v>0.678623120535885</v>
      </c>
      <c r="F19" s="29" t="n">
        <f aca="false">1/(1+$B$22)^F18</f>
        <v>0.596355005933821</v>
      </c>
      <c r="G19" s="29" t="n">
        <f aca="false">1/(1+$B$22)^G18</f>
        <v>0.524060089231107</v>
      </c>
      <c r="H19" s="29" t="n">
        <f aca="false">1/(1+$B$22)^H18</f>
        <v>0.460529339725863</v>
      </c>
      <c r="I19" s="29" t="n">
        <f aca="false">1/(1+$B$22)^I18</f>
        <v>0.404700295074006</v>
      </c>
      <c r="J19" s="29" t="n">
        <f aca="false">1/(1+$B$22)^J18</f>
        <v>0.355639293102328</v>
      </c>
      <c r="K19" s="29" t="n">
        <f aca="false">1/(1+$B$22)^K18</f>
        <v>0.312525857623096</v>
      </c>
      <c r="L19" s="29" t="n">
        <f aca="false">1/(1+$B$22)^L18</f>
        <v>0.274638977124916</v>
      </c>
    </row>
    <row r="20" customFormat="false" ht="15" hidden="false" customHeight="false" outlineLevel="0" collapsed="false">
      <c r="A20" s="5" t="s">
        <v>492</v>
      </c>
      <c r="C20" s="7" t="n">
        <f aca="false">C17*C19</f>
        <v>9072.64654755106</v>
      </c>
      <c r="D20" s="7" t="n">
        <f aca="false">D17*D19</f>
        <v>9675.2973500014</v>
      </c>
      <c r="E20" s="7" t="n">
        <f aca="false">E17*E19</f>
        <v>9368.35892924406</v>
      </c>
      <c r="F20" s="7" t="n">
        <f aca="false">F17*F19</f>
        <v>10103.9872266888</v>
      </c>
      <c r="G20" s="7" t="n">
        <f aca="false">G17*G19</f>
        <v>9671.8051100748</v>
      </c>
      <c r="H20" s="7" t="n">
        <f aca="false">H17*H19</f>
        <v>9166.04770261725</v>
      </c>
      <c r="I20" s="7" t="n">
        <f aca="false">I17*I19</f>
        <v>8522.14097702836</v>
      </c>
      <c r="J20" s="7" t="n">
        <f aca="false">J17*J19</f>
        <v>7876.16036570985</v>
      </c>
      <c r="K20" s="7" t="n">
        <f aca="false">K17*K19</f>
        <v>7198.20327405933</v>
      </c>
      <c r="L20" s="7" t="n">
        <f aca="false">L17*L19</f>
        <v>6578.60276693448</v>
      </c>
    </row>
    <row r="22" customFormat="false" ht="15" hidden="false" customHeight="false" outlineLevel="0" collapsed="false">
      <c r="A22" s="5" t="s">
        <v>493</v>
      </c>
      <c r="B22" s="28" t="n">
        <f aca="false">'Capital Structure &amp; WACC'!B16+'Assumptions &amp; Drivers'!B34</f>
        <v>0.137951578813767</v>
      </c>
    </row>
    <row r="23" customFormat="false" ht="15" hidden="false" customHeight="false" outlineLevel="0" collapsed="false">
      <c r="A23" s="5" t="s">
        <v>116</v>
      </c>
      <c r="B23" s="28" t="n">
        <f aca="false">'Assumptions &amp; Drivers'!B35</f>
        <v>0.045</v>
      </c>
    </row>
    <row r="24" customFormat="false" ht="15" hidden="false" customHeight="false" outlineLevel="0" collapsed="false">
      <c r="A24" s="5" t="s">
        <v>494</v>
      </c>
      <c r="B24" s="7" t="n">
        <f aca="false">SUM(C20:L20)</f>
        <v>87233.2502499094</v>
      </c>
    </row>
    <row r="25" customFormat="false" ht="15" hidden="false" customHeight="false" outlineLevel="0" collapsed="false">
      <c r="A25" s="5" t="s">
        <v>495</v>
      </c>
      <c r="B25" s="7" t="n">
        <f aca="false">L17*(1+B23)/(B22-B23)</f>
        <v>269296.686696731</v>
      </c>
    </row>
    <row r="26" customFormat="false" ht="15" hidden="false" customHeight="false" outlineLevel="0" collapsed="false">
      <c r="A26" s="5" t="s">
        <v>496</v>
      </c>
      <c r="B26" s="7" t="n">
        <f aca="false">B25*L19</f>
        <v>73959.3665775192</v>
      </c>
    </row>
    <row r="27" customFormat="false" ht="15" hidden="false" customHeight="false" outlineLevel="0" collapsed="false">
      <c r="A27" s="13" t="s">
        <v>497</v>
      </c>
      <c r="B27" s="36" t="n">
        <f aca="false">B24+B26</f>
        <v>161192.616827429</v>
      </c>
    </row>
    <row r="32" customFormat="false" ht="15" hidden="false" customHeight="false" outlineLevel="0" collapsed="false">
      <c r="A32" s="12" t="s">
        <v>498</v>
      </c>
    </row>
    <row r="33" customFormat="false" ht="15" hidden="false" customHeight="false" outlineLevel="0" collapsed="false">
      <c r="A33" s="3" t="s">
        <v>289</v>
      </c>
      <c r="B33" s="4" t="s">
        <v>118</v>
      </c>
      <c r="C33" s="4" t="s">
        <v>119</v>
      </c>
      <c r="D33" s="4" t="s">
        <v>120</v>
      </c>
      <c r="E33" s="4" t="s">
        <v>121</v>
      </c>
      <c r="F33" s="4" t="s">
        <v>122</v>
      </c>
      <c r="G33" s="4" t="s">
        <v>123</v>
      </c>
      <c r="H33" s="4" t="s">
        <v>124</v>
      </c>
      <c r="I33" s="4" t="s">
        <v>125</v>
      </c>
      <c r="J33" s="4" t="s">
        <v>126</v>
      </c>
      <c r="K33" s="4" t="s">
        <v>127</v>
      </c>
      <c r="L33" s="4" t="s">
        <v>128</v>
      </c>
    </row>
    <row r="34" customFormat="false" ht="15" hidden="false" customHeight="false" outlineLevel="0" collapsed="false">
      <c r="A34" s="5" t="s">
        <v>129</v>
      </c>
      <c r="C34" s="8" t="n">
        <f aca="false">MAX(0.04,'Assumptions &amp; Drivers'!C39+'Assumptions &amp; Drivers'!$C$32)</f>
        <v>0.12</v>
      </c>
      <c r="D34" s="8" t="n">
        <f aca="false">MAX(0.04,'Assumptions &amp; Drivers'!D39+'Assumptions &amp; Drivers'!$C$32)</f>
        <v>0.12</v>
      </c>
      <c r="E34" s="8" t="n">
        <f aca="false">MAX(0.04,'Assumptions &amp; Drivers'!E39+'Assumptions &amp; Drivers'!$C$32)</f>
        <v>0.11</v>
      </c>
      <c r="F34" s="8" t="n">
        <f aca="false">MAX(0.04,'Assumptions &amp; Drivers'!F39+'Assumptions &amp; Drivers'!$C$32)</f>
        <v>0.1</v>
      </c>
      <c r="G34" s="8" t="n">
        <f aca="false">MAX(0.04,'Assumptions &amp; Drivers'!G39+'Assumptions &amp; Drivers'!$C$32)</f>
        <v>0.09</v>
      </c>
      <c r="H34" s="8" t="n">
        <f aca="false">MAX(0.04,'Assumptions &amp; Drivers'!H39+'Assumptions &amp; Drivers'!$C$32)</f>
        <v>0.08</v>
      </c>
      <c r="I34" s="8" t="n">
        <f aca="false">MAX(0.04,'Assumptions &amp; Drivers'!I39+'Assumptions &amp; Drivers'!$C$32)</f>
        <v>0.08</v>
      </c>
      <c r="J34" s="8" t="n">
        <f aca="false">MAX(0.04,'Assumptions &amp; Drivers'!J39+'Assumptions &amp; Drivers'!$C$32)</f>
        <v>0.07</v>
      </c>
      <c r="K34" s="8" t="n">
        <f aca="false">MAX(0.04,'Assumptions &amp; Drivers'!K39+'Assumptions &amp; Drivers'!$C$32)</f>
        <v>0.07</v>
      </c>
      <c r="L34" s="8" t="n">
        <f aca="false">MAX(0.04,'Assumptions &amp; Drivers'!L39+'Assumptions &amp; Drivers'!$C$32)</f>
        <v>0.06</v>
      </c>
    </row>
    <row r="35" customFormat="false" ht="15" hidden="false" customHeight="false" outlineLevel="0" collapsed="false">
      <c r="A35" s="5" t="s">
        <v>479</v>
      </c>
      <c r="B35" s="7" t="n">
        <f aca="false">'Segments &amp; Core'!C45</f>
        <v>268590.93</v>
      </c>
      <c r="C35" s="7" t="n">
        <f aca="false">B35*(1+C34)</f>
        <v>300821.8416</v>
      </c>
      <c r="D35" s="7" t="n">
        <f aca="false">C35*(1+D34)</f>
        <v>336920.462592</v>
      </c>
      <c r="E35" s="7" t="n">
        <f aca="false">D35*(1+E34)</f>
        <v>373981.71347712</v>
      </c>
      <c r="F35" s="7" t="n">
        <f aca="false">E35*(1+F34)</f>
        <v>411379.884824832</v>
      </c>
      <c r="G35" s="7" t="n">
        <f aca="false">F35*(1+G34)</f>
        <v>448404.074459067</v>
      </c>
      <c r="H35" s="7" t="n">
        <f aca="false">G35*(1+H34)</f>
        <v>484276.400415793</v>
      </c>
      <c r="I35" s="7" t="n">
        <f aca="false">H35*(1+I34)</f>
        <v>523018.512449056</v>
      </c>
      <c r="J35" s="7" t="n">
        <f aca="false">I35*(1+J34)</f>
        <v>559629.80832049</v>
      </c>
      <c r="K35" s="7" t="n">
        <f aca="false">J35*(1+K34)</f>
        <v>598803.894902924</v>
      </c>
      <c r="L35" s="7" t="n">
        <f aca="false">K35*(1+L34)</f>
        <v>634732.1285971</v>
      </c>
    </row>
    <row r="36" customFormat="false" ht="15" hidden="false" customHeight="false" outlineLevel="0" collapsed="false">
      <c r="A36" s="5" t="s">
        <v>131</v>
      </c>
      <c r="B36" s="8" t="n">
        <f aca="false">'Segments &amp; Core'!C47</f>
        <v>0.0935217358233205</v>
      </c>
      <c r="C36" s="28" t="n">
        <f aca="false">'Assumptions &amp; Drivers'!C40+'Assumptions &amp; Drivers'!$C$33</f>
        <v>0.0945</v>
      </c>
      <c r="D36" s="28" t="n">
        <f aca="false">'Assumptions &amp; Drivers'!D40+'Assumptions &amp; Drivers'!$C$33</f>
        <v>0.0955</v>
      </c>
      <c r="E36" s="28" t="n">
        <f aca="false">'Assumptions &amp; Drivers'!E40+'Assumptions &amp; Drivers'!$C$33</f>
        <v>0.0965</v>
      </c>
      <c r="F36" s="28" t="n">
        <f aca="false">'Assumptions &amp; Drivers'!F40+'Assumptions &amp; Drivers'!$C$33</f>
        <v>0.0975</v>
      </c>
      <c r="G36" s="28" t="n">
        <f aca="false">'Assumptions &amp; Drivers'!G40+'Assumptions &amp; Drivers'!$C$33</f>
        <v>0.0985</v>
      </c>
      <c r="H36" s="28" t="n">
        <f aca="false">'Assumptions &amp; Drivers'!H40+'Assumptions &amp; Drivers'!$C$33</f>
        <v>0.0995</v>
      </c>
      <c r="I36" s="28" t="n">
        <f aca="false">'Assumptions &amp; Drivers'!I40+'Assumptions &amp; Drivers'!$C$33</f>
        <v>0.1</v>
      </c>
      <c r="J36" s="28" t="n">
        <f aca="false">'Assumptions &amp; Drivers'!J40+'Assumptions &amp; Drivers'!$C$33</f>
        <v>0.1</v>
      </c>
      <c r="K36" s="28" t="n">
        <f aca="false">'Assumptions &amp; Drivers'!K40+'Assumptions &amp; Drivers'!$C$33</f>
        <v>0.1</v>
      </c>
      <c r="L36" s="28" t="n">
        <f aca="false">'Assumptions &amp; Drivers'!L40+'Assumptions &amp; Drivers'!$C$33</f>
        <v>0.1</v>
      </c>
    </row>
    <row r="37" customFormat="false" ht="15" hidden="false" customHeight="false" outlineLevel="0" collapsed="false">
      <c r="A37" s="13" t="s">
        <v>480</v>
      </c>
      <c r="B37" s="7" t="n">
        <f aca="false">'Segments &amp; Core'!C46</f>
        <v>25119.09</v>
      </c>
      <c r="C37" s="36" t="n">
        <f aca="false">C35*C36</f>
        <v>28427.6640312</v>
      </c>
      <c r="D37" s="36" t="n">
        <f aca="false">D35*D36</f>
        <v>32175.904177536</v>
      </c>
      <c r="E37" s="36" t="n">
        <f aca="false">E35*E36</f>
        <v>36089.2353505421</v>
      </c>
      <c r="F37" s="36" t="n">
        <f aca="false">F35*F36</f>
        <v>40109.5387704211</v>
      </c>
      <c r="G37" s="36" t="n">
        <f aca="false">G35*G36</f>
        <v>44167.8013342181</v>
      </c>
      <c r="H37" s="36" t="n">
        <f aca="false">H35*H36</f>
        <v>48185.5018413714</v>
      </c>
      <c r="I37" s="36" t="n">
        <f aca="false">I35*I36</f>
        <v>52301.8512449056</v>
      </c>
      <c r="J37" s="36" t="n">
        <f aca="false">J35*J36</f>
        <v>55962.980832049</v>
      </c>
      <c r="K37" s="36" t="n">
        <f aca="false">K35*K36</f>
        <v>59880.3894902924</v>
      </c>
      <c r="L37" s="36" t="n">
        <f aca="false">L35*L36</f>
        <v>63473.21285971</v>
      </c>
    </row>
    <row r="38" customFormat="false" ht="15" hidden="false" customHeight="false" outlineLevel="0" collapsed="false">
      <c r="A38" s="5" t="s">
        <v>481</v>
      </c>
      <c r="C38" s="7" t="n">
        <f aca="false">C35*'Assumptions &amp; Drivers'!$B$27</f>
        <v>4813.1494656</v>
      </c>
      <c r="D38" s="7" t="n">
        <f aca="false">D35*'Assumptions &amp; Drivers'!$B$27</f>
        <v>5390.727401472</v>
      </c>
      <c r="E38" s="7" t="n">
        <f aca="false">E35*'Assumptions &amp; Drivers'!$B$27</f>
        <v>5983.70741563392</v>
      </c>
      <c r="F38" s="7" t="n">
        <f aca="false">F35*'Assumptions &amp; Drivers'!$B$27</f>
        <v>6582.07815719732</v>
      </c>
      <c r="G38" s="7" t="n">
        <f aca="false">G35*'Assumptions &amp; Drivers'!$B$27</f>
        <v>7174.46519134507</v>
      </c>
      <c r="H38" s="7" t="n">
        <f aca="false">H35*'Assumptions &amp; Drivers'!$B$27</f>
        <v>7748.42240665268</v>
      </c>
      <c r="I38" s="7" t="n">
        <f aca="false">I35*'Assumptions &amp; Drivers'!$B$27</f>
        <v>8368.2961991849</v>
      </c>
      <c r="J38" s="7" t="n">
        <f aca="false">J35*'Assumptions &amp; Drivers'!$B$27</f>
        <v>8954.07693312784</v>
      </c>
      <c r="K38" s="7" t="n">
        <f aca="false">K35*'Assumptions &amp; Drivers'!$B$27</f>
        <v>9580.86231844679</v>
      </c>
      <c r="L38" s="7" t="n">
        <f aca="false">L35*'Assumptions &amp; Drivers'!$B$27</f>
        <v>10155.7140575536</v>
      </c>
    </row>
    <row r="39" customFormat="false" ht="15" hidden="false" customHeight="false" outlineLevel="0" collapsed="false">
      <c r="A39" s="5" t="s">
        <v>482</v>
      </c>
      <c r="C39" s="7" t="n">
        <f aca="false">C37-C38</f>
        <v>23614.5145656</v>
      </c>
      <c r="D39" s="7" t="n">
        <f aca="false">D37-D38</f>
        <v>26785.176776064</v>
      </c>
      <c r="E39" s="7" t="n">
        <f aca="false">E37-E38</f>
        <v>30105.5279349082</v>
      </c>
      <c r="F39" s="7" t="n">
        <f aca="false">F37-F38</f>
        <v>33527.4606132238</v>
      </c>
      <c r="G39" s="7" t="n">
        <f aca="false">G37-G38</f>
        <v>36993.336142873</v>
      </c>
      <c r="H39" s="7" t="n">
        <f aca="false">H37-H38</f>
        <v>40437.0794347187</v>
      </c>
      <c r="I39" s="7" t="n">
        <f aca="false">I37-I38</f>
        <v>43933.5550457207</v>
      </c>
      <c r="J39" s="7" t="n">
        <f aca="false">J37-J38</f>
        <v>47008.9038989212</v>
      </c>
      <c r="K39" s="7" t="n">
        <f aca="false">K37-K38</f>
        <v>50299.5271718457</v>
      </c>
      <c r="L39" s="7" t="n">
        <f aca="false">L37-L38</f>
        <v>53317.4988021564</v>
      </c>
    </row>
    <row r="40" customFormat="false" ht="15" hidden="false" customHeight="false" outlineLevel="0" collapsed="false">
      <c r="A40" s="5" t="s">
        <v>483</v>
      </c>
      <c r="C40" s="7" t="n">
        <f aca="false">C39*'Assumptions &amp; Drivers'!$B$25</f>
        <v>6139.773787056</v>
      </c>
      <c r="D40" s="7" t="n">
        <f aca="false">D39*'Assumptions &amp; Drivers'!$B$25</f>
        <v>6964.14596177664</v>
      </c>
      <c r="E40" s="7" t="n">
        <f aca="false">E39*'Assumptions &amp; Drivers'!$B$25</f>
        <v>7827.43726307613</v>
      </c>
      <c r="F40" s="7" t="n">
        <f aca="false">F39*'Assumptions &amp; Drivers'!$B$25</f>
        <v>8717.13975943819</v>
      </c>
      <c r="G40" s="7" t="n">
        <f aca="false">G39*'Assumptions &amp; Drivers'!$B$25</f>
        <v>9618.26739714699</v>
      </c>
      <c r="H40" s="7" t="n">
        <f aca="false">H39*'Assumptions &amp; Drivers'!$B$25</f>
        <v>10513.6406530269</v>
      </c>
      <c r="I40" s="7" t="n">
        <f aca="false">I39*'Assumptions &amp; Drivers'!$B$25</f>
        <v>11422.7243118874</v>
      </c>
      <c r="J40" s="7" t="n">
        <f aca="false">J39*'Assumptions &amp; Drivers'!$B$25</f>
        <v>12222.3150137195</v>
      </c>
      <c r="K40" s="7" t="n">
        <f aca="false">K39*'Assumptions &amp; Drivers'!$B$25</f>
        <v>13077.8770646799</v>
      </c>
      <c r="L40" s="7" t="n">
        <f aca="false">L39*'Assumptions &amp; Drivers'!$B$25</f>
        <v>13862.5496885607</v>
      </c>
    </row>
    <row r="41" customFormat="false" ht="15" hidden="false" customHeight="false" outlineLevel="0" collapsed="false">
      <c r="A41" s="5" t="s">
        <v>484</v>
      </c>
      <c r="C41" s="7" t="n">
        <f aca="false">C39-C40</f>
        <v>17474.740778544</v>
      </c>
      <c r="D41" s="7" t="n">
        <f aca="false">D39-D40</f>
        <v>19821.0308142874</v>
      </c>
      <c r="E41" s="7" t="n">
        <f aca="false">E39-E40</f>
        <v>22278.090671832</v>
      </c>
      <c r="F41" s="7" t="n">
        <f aca="false">F39-F40</f>
        <v>24810.3208537856</v>
      </c>
      <c r="G41" s="7" t="n">
        <f aca="false">G39-G40</f>
        <v>27375.0687457261</v>
      </c>
      <c r="H41" s="7" t="n">
        <f aca="false">H39-H40</f>
        <v>29923.4387816918</v>
      </c>
      <c r="I41" s="7" t="n">
        <f aca="false">I39-I40</f>
        <v>32510.8307338333</v>
      </c>
      <c r="J41" s="7" t="n">
        <f aca="false">J39-J40</f>
        <v>34786.5888852017</v>
      </c>
      <c r="K41" s="7" t="n">
        <f aca="false">K39-K40</f>
        <v>37221.6501071658</v>
      </c>
      <c r="L41" s="7" t="n">
        <f aca="false">L39-L40</f>
        <v>39454.9491135957</v>
      </c>
    </row>
    <row r="42" customFormat="false" ht="15" hidden="false" customHeight="false" outlineLevel="0" collapsed="false">
      <c r="A42" s="5" t="s">
        <v>485</v>
      </c>
      <c r="C42" s="7" t="n">
        <f aca="false">C35*'Assumptions &amp; Drivers'!$B$26</f>
        <v>6618.0805152</v>
      </c>
      <c r="D42" s="7" t="n">
        <f aca="false">D35*'Assumptions &amp; Drivers'!$B$26</f>
        <v>7412.250177024</v>
      </c>
      <c r="E42" s="7" t="n">
        <f aca="false">E35*'Assumptions &amp; Drivers'!$B$26</f>
        <v>8227.59769649664</v>
      </c>
      <c r="F42" s="7" t="n">
        <f aca="false">F35*'Assumptions &amp; Drivers'!$B$26</f>
        <v>9050.35746614631</v>
      </c>
      <c r="G42" s="7" t="n">
        <f aca="false">G35*'Assumptions &amp; Drivers'!$B$26</f>
        <v>9864.88963809948</v>
      </c>
      <c r="H42" s="7" t="n">
        <f aca="false">H35*'Assumptions &amp; Drivers'!$B$26</f>
        <v>10654.0808091474</v>
      </c>
      <c r="I42" s="7" t="n">
        <f aca="false">I35*'Assumptions &amp; Drivers'!$B$26</f>
        <v>11506.4072738792</v>
      </c>
      <c r="J42" s="7" t="n">
        <f aca="false">J35*'Assumptions &amp; Drivers'!$B$26</f>
        <v>12311.8557830508</v>
      </c>
      <c r="K42" s="7" t="n">
        <f aca="false">K35*'Assumptions &amp; Drivers'!$B$26</f>
        <v>13173.6856878643</v>
      </c>
      <c r="L42" s="7" t="n">
        <f aca="false">L35*'Assumptions &amp; Drivers'!$B$26</f>
        <v>13964.1068291362</v>
      </c>
    </row>
    <row r="43" customFormat="false" ht="15" hidden="false" customHeight="false" outlineLevel="0" collapsed="false">
      <c r="A43" s="5" t="s">
        <v>486</v>
      </c>
      <c r="B43" s="8" t="n">
        <f aca="false">'Assumptions &amp; Drivers'!B28</f>
        <v>0.041</v>
      </c>
      <c r="C43" s="8" t="n">
        <f aca="false">'Assumptions &amp; Drivers'!C41</f>
        <v>0.05</v>
      </c>
      <c r="D43" s="8" t="n">
        <f aca="false">'Assumptions &amp; Drivers'!D41</f>
        <v>0.055</v>
      </c>
      <c r="E43" s="8" t="n">
        <f aca="false">'Assumptions &amp; Drivers'!E41</f>
        <v>0.06</v>
      </c>
      <c r="F43" s="8" t="n">
        <f aca="false">'Assumptions &amp; Drivers'!F41</f>
        <v>0.06</v>
      </c>
      <c r="G43" s="8" t="n">
        <f aca="false">'Assumptions &amp; Drivers'!G41</f>
        <v>0.06</v>
      </c>
      <c r="H43" s="8" t="n">
        <f aca="false">'Assumptions &amp; Drivers'!H41</f>
        <v>0.06</v>
      </c>
      <c r="I43" s="8" t="n">
        <f aca="false">'Assumptions &amp; Drivers'!I41</f>
        <v>0.06</v>
      </c>
      <c r="J43" s="8" t="n">
        <f aca="false">'Assumptions &amp; Drivers'!J41</f>
        <v>0.06</v>
      </c>
      <c r="K43" s="8" t="n">
        <f aca="false">'Assumptions &amp; Drivers'!K41</f>
        <v>0.06</v>
      </c>
      <c r="L43" s="8" t="n">
        <f aca="false">'Assumptions &amp; Drivers'!L41</f>
        <v>0.06</v>
      </c>
    </row>
    <row r="44" customFormat="false" ht="15" hidden="false" customHeight="false" outlineLevel="0" collapsed="false">
      <c r="A44" s="5" t="s">
        <v>487</v>
      </c>
      <c r="B44" s="7" t="n">
        <f aca="false">B35*B43</f>
        <v>11012.22813</v>
      </c>
      <c r="C44" s="7" t="n">
        <f aca="false">C35*C43</f>
        <v>15041.09208</v>
      </c>
      <c r="D44" s="7" t="n">
        <f aca="false">D35*D43</f>
        <v>18530.62544256</v>
      </c>
      <c r="E44" s="7" t="n">
        <f aca="false">E35*E43</f>
        <v>22438.9028086272</v>
      </c>
      <c r="F44" s="7" t="n">
        <f aca="false">F35*F43</f>
        <v>24682.7930894899</v>
      </c>
      <c r="G44" s="7" t="n">
        <f aca="false">G35*G43</f>
        <v>26904.244467544</v>
      </c>
      <c r="H44" s="7" t="n">
        <f aca="false">H35*H43</f>
        <v>29056.5840249476</v>
      </c>
      <c r="I44" s="7" t="n">
        <f aca="false">I35*I43</f>
        <v>31381.1107469434</v>
      </c>
      <c r="J44" s="7" t="n">
        <f aca="false">J35*J43</f>
        <v>33577.7884992294</v>
      </c>
      <c r="K44" s="7" t="n">
        <f aca="false">K35*K43</f>
        <v>35928.2336941755</v>
      </c>
      <c r="L44" s="7" t="n">
        <f aca="false">L35*L43</f>
        <v>38083.927715826</v>
      </c>
    </row>
    <row r="45" customFormat="false" ht="15" hidden="false" customHeight="false" outlineLevel="0" collapsed="false">
      <c r="A45" s="5" t="s">
        <v>488</v>
      </c>
      <c r="C45" s="7" t="n">
        <f aca="false">C44-B44</f>
        <v>4028.86395</v>
      </c>
      <c r="D45" s="7" t="n">
        <f aca="false">D44-C44</f>
        <v>3489.53336256</v>
      </c>
      <c r="E45" s="7" t="n">
        <f aca="false">E44-D44</f>
        <v>3908.2773660672</v>
      </c>
      <c r="F45" s="7" t="n">
        <f aca="false">F44-E44</f>
        <v>2243.89028086272</v>
      </c>
      <c r="G45" s="7" t="n">
        <f aca="false">G44-F44</f>
        <v>2221.45137805409</v>
      </c>
      <c r="H45" s="7" t="n">
        <f aca="false">H44-G44</f>
        <v>2152.33955740352</v>
      </c>
      <c r="I45" s="7" t="n">
        <f aca="false">I44-H44</f>
        <v>2324.5267219958</v>
      </c>
      <c r="J45" s="7" t="n">
        <f aca="false">J44-I44</f>
        <v>2196.67775228604</v>
      </c>
      <c r="K45" s="7" t="n">
        <f aca="false">K44-J44</f>
        <v>2350.44519494606</v>
      </c>
      <c r="L45" s="7" t="n">
        <f aca="false">L44-K44</f>
        <v>2155.69402165053</v>
      </c>
    </row>
    <row r="46" customFormat="false" ht="15" hidden="false" customHeight="false" outlineLevel="0" collapsed="false">
      <c r="A46" s="13" t="s">
        <v>489</v>
      </c>
      <c r="C46" s="36" t="n">
        <f aca="false">C41+C38-C42-C45</f>
        <v>11640.945778944</v>
      </c>
      <c r="D46" s="36" t="n">
        <f aca="false">D41+D38-D42-D45</f>
        <v>14309.9746761754</v>
      </c>
      <c r="E46" s="36" t="n">
        <f aca="false">E41+E38-E42-E45</f>
        <v>16125.9230249021</v>
      </c>
      <c r="F46" s="36" t="n">
        <f aca="false">F41+F38-F42-F45</f>
        <v>20098.1512639739</v>
      </c>
      <c r="G46" s="36" t="n">
        <f aca="false">G41+G38-G42-G45</f>
        <v>22463.1929209176</v>
      </c>
      <c r="H46" s="36" t="n">
        <f aca="false">H41+H38-H42-H45</f>
        <v>24865.4408217935</v>
      </c>
      <c r="I46" s="36" t="n">
        <f aca="false">I41+I38-I42-I45</f>
        <v>27048.1929371432</v>
      </c>
      <c r="J46" s="36" t="n">
        <f aca="false">J41+J38-J42-J45</f>
        <v>29232.1322829927</v>
      </c>
      <c r="K46" s="36" t="n">
        <f aca="false">K41+K38-K42-K45</f>
        <v>31278.3815428022</v>
      </c>
      <c r="L46" s="36" t="n">
        <f aca="false">L41+L38-L42-L45</f>
        <v>33490.8623203626</v>
      </c>
    </row>
    <row r="47" customFormat="false" ht="15" hidden="false" customHeight="false" outlineLevel="0" collapsed="false">
      <c r="A47" s="5" t="s">
        <v>490</v>
      </c>
      <c r="C47" s="37" t="n">
        <v>1</v>
      </c>
      <c r="D47" s="37" t="n">
        <v>2</v>
      </c>
      <c r="E47" s="37" t="n">
        <v>3</v>
      </c>
      <c r="F47" s="37" t="n">
        <v>4</v>
      </c>
      <c r="G47" s="37" t="n">
        <v>5</v>
      </c>
      <c r="H47" s="37" t="n">
        <v>6</v>
      </c>
      <c r="I47" s="37" t="n">
        <v>7</v>
      </c>
      <c r="J47" s="37" t="n">
        <v>8</v>
      </c>
      <c r="K47" s="37" t="n">
        <v>9</v>
      </c>
      <c r="L47" s="37" t="n">
        <v>10</v>
      </c>
    </row>
    <row r="48" customFormat="false" ht="15" hidden="false" customHeight="false" outlineLevel="0" collapsed="false">
      <c r="A48" s="5" t="s">
        <v>491</v>
      </c>
      <c r="C48" s="29" t="n">
        <f aca="false">1/(1+$B$51)^C47</f>
        <v>0.886562879810559</v>
      </c>
      <c r="D48" s="29" t="n">
        <f aca="false">1/(1+$B$51)^D47</f>
        <v>0.785993739857992</v>
      </c>
      <c r="E48" s="29" t="n">
        <f aca="false">1/(1+$B$51)^E47</f>
        <v>0.696832873521573</v>
      </c>
      <c r="F48" s="29" t="n">
        <f aca="false">1/(1+$B$51)^F47</f>
        <v>0.617786159095953</v>
      </c>
      <c r="G48" s="29" t="n">
        <f aca="false">1/(1+$B$51)^G47</f>
        <v>0.547706276315213</v>
      </c>
      <c r="H48" s="29" t="n">
        <f aca="false">1/(1+$B$51)^H47</f>
        <v>0.485576053620333</v>
      </c>
      <c r="I48" s="29" t="n">
        <f aca="false">1/(1+$B$51)^I47</f>
        <v>0.430493704464689</v>
      </c>
      <c r="J48" s="29" t="n">
        <f aca="false">1/(1+$B$51)^J47</f>
        <v>0.38165973837053</v>
      </c>
      <c r="K48" s="29" t="n">
        <f aca="false">1/(1+$B$51)^K47</f>
        <v>0.338365356757522</v>
      </c>
      <c r="L48" s="29" t="n">
        <f aca="false">1/(1+$B$51)^L47</f>
        <v>0.299982165115076</v>
      </c>
    </row>
    <row r="49" customFormat="false" ht="15" hidden="false" customHeight="false" outlineLevel="0" collapsed="false">
      <c r="A49" s="5" t="s">
        <v>492</v>
      </c>
      <c r="C49" s="7" t="n">
        <f aca="false">C46*C48</f>
        <v>10320.4304134992</v>
      </c>
      <c r="D49" s="7" t="n">
        <f aca="false">D46*D48</f>
        <v>11247.5505130002</v>
      </c>
      <c r="E49" s="7" t="n">
        <f aca="false">E46*E48</f>
        <v>11237.0732796302</v>
      </c>
      <c r="F49" s="7" t="n">
        <f aca="false">F46*F48</f>
        <v>12416.3596742999</v>
      </c>
      <c r="G49" s="7" t="n">
        <f aca="false">G46*G48</f>
        <v>12303.231748866</v>
      </c>
      <c r="H49" s="7" t="n">
        <f aca="false">H46*H48</f>
        <v>12074.0626257764</v>
      </c>
      <c r="I49" s="7" t="n">
        <f aca="false">I46*I48</f>
        <v>11644.0767765864</v>
      </c>
      <c r="J49" s="7" t="n">
        <f aca="false">J46*J48</f>
        <v>11156.7279591397</v>
      </c>
      <c r="K49" s="7" t="n">
        <f aca="false">K46*K48</f>
        <v>10583.5207295282</v>
      </c>
      <c r="L49" s="7" t="n">
        <f aca="false">L46*L48</f>
        <v>10046.6613904333</v>
      </c>
    </row>
    <row r="51" customFormat="false" ht="15" hidden="false" customHeight="false" outlineLevel="0" collapsed="false">
      <c r="A51" s="5" t="s">
        <v>493</v>
      </c>
      <c r="B51" s="28" t="n">
        <f aca="false">'Capital Structure &amp; WACC'!B16+'Assumptions &amp; Drivers'!C34</f>
        <v>0.127951578813767</v>
      </c>
    </row>
    <row r="52" customFormat="false" ht="15" hidden="false" customHeight="false" outlineLevel="0" collapsed="false">
      <c r="A52" s="5" t="s">
        <v>116</v>
      </c>
      <c r="B52" s="28" t="n">
        <f aca="false">'Assumptions &amp; Drivers'!C35</f>
        <v>0.05</v>
      </c>
    </row>
    <row r="53" customFormat="false" ht="15" hidden="false" customHeight="false" outlineLevel="0" collapsed="false">
      <c r="A53" s="5" t="s">
        <v>494</v>
      </c>
      <c r="B53" s="7" t="n">
        <f aca="false">SUM(C49:L49)</f>
        <v>113029.69511076</v>
      </c>
    </row>
    <row r="54" customFormat="false" ht="15" hidden="false" customHeight="false" outlineLevel="0" collapsed="false">
      <c r="A54" s="5" t="s">
        <v>495</v>
      </c>
      <c r="B54" s="7" t="n">
        <f aca="false">L46*(1+B52)/(B51-B52)</f>
        <v>451118.578629357</v>
      </c>
    </row>
    <row r="55" customFormat="false" ht="15" hidden="false" customHeight="false" outlineLevel="0" collapsed="false">
      <c r="A55" s="5" t="s">
        <v>496</v>
      </c>
      <c r="B55" s="7" t="n">
        <f aca="false">B54*L48</f>
        <v>135327.52794087</v>
      </c>
    </row>
    <row r="56" customFormat="false" ht="15" hidden="false" customHeight="false" outlineLevel="0" collapsed="false">
      <c r="A56" s="13" t="s">
        <v>497</v>
      </c>
      <c r="B56" s="36" t="n">
        <f aca="false">B53+B55</f>
        <v>248357.22305163</v>
      </c>
    </row>
    <row r="61" customFormat="false" ht="15" hidden="false" customHeight="false" outlineLevel="0" collapsed="false">
      <c r="A61" s="12" t="s">
        <v>499</v>
      </c>
    </row>
    <row r="62" customFormat="false" ht="15" hidden="false" customHeight="false" outlineLevel="0" collapsed="false">
      <c r="A62" s="3" t="s">
        <v>289</v>
      </c>
      <c r="B62" s="4" t="s">
        <v>118</v>
      </c>
      <c r="C62" s="4" t="s">
        <v>119</v>
      </c>
      <c r="D62" s="4" t="s">
        <v>120</v>
      </c>
      <c r="E62" s="4" t="s">
        <v>121</v>
      </c>
      <c r="F62" s="4" t="s">
        <v>122</v>
      </c>
      <c r="G62" s="4" t="s">
        <v>123</v>
      </c>
      <c r="H62" s="4" t="s">
        <v>124</v>
      </c>
      <c r="I62" s="4" t="s">
        <v>125</v>
      </c>
      <c r="J62" s="4" t="s">
        <v>126</v>
      </c>
      <c r="K62" s="4" t="s">
        <v>127</v>
      </c>
      <c r="L62" s="4" t="s">
        <v>128</v>
      </c>
    </row>
    <row r="63" customFormat="false" ht="15" hidden="false" customHeight="false" outlineLevel="0" collapsed="false">
      <c r="A63" s="5" t="s">
        <v>129</v>
      </c>
      <c r="C63" s="8" t="n">
        <f aca="false">MAX(0.04,'Assumptions &amp; Drivers'!C39+'Assumptions &amp; Drivers'!$D$32)</f>
        <v>0.14</v>
      </c>
      <c r="D63" s="8" t="n">
        <f aca="false">MAX(0.04,'Assumptions &amp; Drivers'!D39+'Assumptions &amp; Drivers'!$D$32)</f>
        <v>0.14</v>
      </c>
      <c r="E63" s="8" t="n">
        <f aca="false">MAX(0.04,'Assumptions &amp; Drivers'!E39+'Assumptions &amp; Drivers'!$D$32)</f>
        <v>0.13</v>
      </c>
      <c r="F63" s="8" t="n">
        <f aca="false">MAX(0.04,'Assumptions &amp; Drivers'!F39+'Assumptions &amp; Drivers'!$D$32)</f>
        <v>0.12</v>
      </c>
      <c r="G63" s="8" t="n">
        <f aca="false">MAX(0.04,'Assumptions &amp; Drivers'!G39+'Assumptions &amp; Drivers'!$D$32)</f>
        <v>0.11</v>
      </c>
      <c r="H63" s="8" t="n">
        <f aca="false">MAX(0.04,'Assumptions &amp; Drivers'!H39+'Assumptions &amp; Drivers'!$D$32)</f>
        <v>0.1</v>
      </c>
      <c r="I63" s="8" t="n">
        <f aca="false">MAX(0.04,'Assumptions &amp; Drivers'!I39+'Assumptions &amp; Drivers'!$D$32)</f>
        <v>0.1</v>
      </c>
      <c r="J63" s="8" t="n">
        <f aca="false">MAX(0.04,'Assumptions &amp; Drivers'!J39+'Assumptions &amp; Drivers'!$D$32)</f>
        <v>0.09</v>
      </c>
      <c r="K63" s="8" t="n">
        <f aca="false">MAX(0.04,'Assumptions &amp; Drivers'!K39+'Assumptions &amp; Drivers'!$D$32)</f>
        <v>0.09</v>
      </c>
      <c r="L63" s="8" t="n">
        <f aca="false">MAX(0.04,'Assumptions &amp; Drivers'!L39+'Assumptions &amp; Drivers'!$D$32)</f>
        <v>0.08</v>
      </c>
    </row>
    <row r="64" customFormat="false" ht="15" hidden="false" customHeight="false" outlineLevel="0" collapsed="false">
      <c r="A64" s="5" t="s">
        <v>479</v>
      </c>
      <c r="B64" s="7" t="n">
        <f aca="false">'Segments &amp; Core'!C45</f>
        <v>268590.93</v>
      </c>
      <c r="C64" s="7" t="n">
        <f aca="false">B64*(1+C63)</f>
        <v>306193.6602</v>
      </c>
      <c r="D64" s="7" t="n">
        <f aca="false">C64*(1+D63)</f>
        <v>349060.772628</v>
      </c>
      <c r="E64" s="7" t="n">
        <f aca="false">D64*(1+E63)</f>
        <v>394438.67306964</v>
      </c>
      <c r="F64" s="7" t="n">
        <f aca="false">E64*(1+F63)</f>
        <v>441771.313837997</v>
      </c>
      <c r="G64" s="7" t="n">
        <f aca="false">F64*(1+G63)</f>
        <v>490366.158360176</v>
      </c>
      <c r="H64" s="7" t="n">
        <f aca="false">G64*(1+H63)</f>
        <v>539402.774196194</v>
      </c>
      <c r="I64" s="7" t="n">
        <f aca="false">H64*(1+I63)</f>
        <v>593343.051615814</v>
      </c>
      <c r="J64" s="7" t="n">
        <f aca="false">I64*(1+J63)</f>
        <v>646743.926261237</v>
      </c>
      <c r="K64" s="7" t="n">
        <f aca="false">J64*(1+K63)</f>
        <v>704950.879624748</v>
      </c>
      <c r="L64" s="7" t="n">
        <f aca="false">K64*(1+L63)</f>
        <v>761346.949994728</v>
      </c>
    </row>
    <row r="65" customFormat="false" ht="15" hidden="false" customHeight="false" outlineLevel="0" collapsed="false">
      <c r="A65" s="5" t="s">
        <v>131</v>
      </c>
      <c r="B65" s="8" t="n">
        <f aca="false">'Segments &amp; Core'!C47</f>
        <v>0.0935217358233205</v>
      </c>
      <c r="C65" s="28" t="n">
        <f aca="false">'Assumptions &amp; Drivers'!C40+'Assumptions &amp; Drivers'!$D$33</f>
        <v>0.0995</v>
      </c>
      <c r="D65" s="28" t="n">
        <f aca="false">'Assumptions &amp; Drivers'!D40+'Assumptions &amp; Drivers'!$D$33</f>
        <v>0.1005</v>
      </c>
      <c r="E65" s="28" t="n">
        <f aca="false">'Assumptions &amp; Drivers'!E40+'Assumptions &amp; Drivers'!$D$33</f>
        <v>0.1015</v>
      </c>
      <c r="F65" s="28" t="n">
        <f aca="false">'Assumptions &amp; Drivers'!F40+'Assumptions &amp; Drivers'!$D$33</f>
        <v>0.1025</v>
      </c>
      <c r="G65" s="28" t="n">
        <f aca="false">'Assumptions &amp; Drivers'!G40+'Assumptions &amp; Drivers'!$D$33</f>
        <v>0.1035</v>
      </c>
      <c r="H65" s="28" t="n">
        <f aca="false">'Assumptions &amp; Drivers'!H40+'Assumptions &amp; Drivers'!$D$33</f>
        <v>0.1045</v>
      </c>
      <c r="I65" s="28" t="n">
        <f aca="false">'Assumptions &amp; Drivers'!I40+'Assumptions &amp; Drivers'!$D$33</f>
        <v>0.105</v>
      </c>
      <c r="J65" s="28" t="n">
        <f aca="false">'Assumptions &amp; Drivers'!J40+'Assumptions &amp; Drivers'!$D$33</f>
        <v>0.105</v>
      </c>
      <c r="K65" s="28" t="n">
        <f aca="false">'Assumptions &amp; Drivers'!K40+'Assumptions &amp; Drivers'!$D$33</f>
        <v>0.105</v>
      </c>
      <c r="L65" s="28" t="n">
        <f aca="false">'Assumptions &amp; Drivers'!L40+'Assumptions &amp; Drivers'!$D$33</f>
        <v>0.105</v>
      </c>
    </row>
    <row r="66" customFormat="false" ht="15" hidden="false" customHeight="false" outlineLevel="0" collapsed="false">
      <c r="A66" s="13" t="s">
        <v>480</v>
      </c>
      <c r="B66" s="7" t="n">
        <f aca="false">'Segments &amp; Core'!C46</f>
        <v>25119.09</v>
      </c>
      <c r="C66" s="36" t="n">
        <f aca="false">C64*C65</f>
        <v>30466.2691899</v>
      </c>
      <c r="D66" s="36" t="n">
        <f aca="false">D64*D65</f>
        <v>35080.607649114</v>
      </c>
      <c r="E66" s="36" t="n">
        <f aca="false">E64*E65</f>
        <v>40035.5253165685</v>
      </c>
      <c r="F66" s="36" t="n">
        <f aca="false">F64*F65</f>
        <v>45281.5596683947</v>
      </c>
      <c r="G66" s="36" t="n">
        <f aca="false">G64*G65</f>
        <v>50752.8973902783</v>
      </c>
      <c r="H66" s="36" t="n">
        <f aca="false">H64*H65</f>
        <v>56367.5899035023</v>
      </c>
      <c r="I66" s="36" t="n">
        <f aca="false">I64*I65</f>
        <v>62301.0204196604</v>
      </c>
      <c r="J66" s="36" t="n">
        <f aca="false">J64*J65</f>
        <v>67908.1122574299</v>
      </c>
      <c r="K66" s="36" t="n">
        <f aca="false">K64*K65</f>
        <v>74019.8423605986</v>
      </c>
      <c r="L66" s="36" t="n">
        <f aca="false">L64*L65</f>
        <v>79941.4297494465</v>
      </c>
    </row>
    <row r="67" customFormat="false" ht="15" hidden="false" customHeight="false" outlineLevel="0" collapsed="false">
      <c r="A67" s="5" t="s">
        <v>481</v>
      </c>
      <c r="C67" s="7" t="n">
        <f aca="false">C64*'Assumptions &amp; Drivers'!$B$27</f>
        <v>4899.0985632</v>
      </c>
      <c r="D67" s="7" t="n">
        <f aca="false">D64*'Assumptions &amp; Drivers'!$B$27</f>
        <v>5584.972362048</v>
      </c>
      <c r="E67" s="7" t="n">
        <f aca="false">E64*'Assumptions &amp; Drivers'!$B$27</f>
        <v>6311.01876911424</v>
      </c>
      <c r="F67" s="7" t="n">
        <f aca="false">F64*'Assumptions &amp; Drivers'!$B$27</f>
        <v>7068.34102140795</v>
      </c>
      <c r="G67" s="7" t="n">
        <f aca="false">G64*'Assumptions &amp; Drivers'!$B$27</f>
        <v>7845.85853376282</v>
      </c>
      <c r="H67" s="7" t="n">
        <f aca="false">H64*'Assumptions &amp; Drivers'!$B$27</f>
        <v>8630.44438713911</v>
      </c>
      <c r="I67" s="7" t="n">
        <f aca="false">I64*'Assumptions &amp; Drivers'!$B$27</f>
        <v>9493.48882585302</v>
      </c>
      <c r="J67" s="7" t="n">
        <f aca="false">J64*'Assumptions &amp; Drivers'!$B$27</f>
        <v>10347.9028201798</v>
      </c>
      <c r="K67" s="7" t="n">
        <f aca="false">K64*'Assumptions &amp; Drivers'!$B$27</f>
        <v>11279.214073996</v>
      </c>
      <c r="L67" s="7" t="n">
        <f aca="false">L64*'Assumptions &amp; Drivers'!$B$27</f>
        <v>12181.5511999157</v>
      </c>
    </row>
    <row r="68" customFormat="false" ht="15" hidden="false" customHeight="false" outlineLevel="0" collapsed="false">
      <c r="A68" s="5" t="s">
        <v>482</v>
      </c>
      <c r="C68" s="7" t="n">
        <f aca="false">C66-C67</f>
        <v>25567.1706267</v>
      </c>
      <c r="D68" s="7" t="n">
        <f aca="false">D66-D67</f>
        <v>29495.635287066</v>
      </c>
      <c r="E68" s="7" t="n">
        <f aca="false">E66-E67</f>
        <v>33724.5065474542</v>
      </c>
      <c r="F68" s="7" t="n">
        <f aca="false">F66-F67</f>
        <v>38213.2186469867</v>
      </c>
      <c r="G68" s="7" t="n">
        <f aca="false">G66-G67</f>
        <v>42907.0388565154</v>
      </c>
      <c r="H68" s="7" t="n">
        <f aca="false">H66-H67</f>
        <v>47737.1455163632</v>
      </c>
      <c r="I68" s="7" t="n">
        <f aca="false">I66-I67</f>
        <v>52807.5315938074</v>
      </c>
      <c r="J68" s="7" t="n">
        <f aca="false">J66-J67</f>
        <v>57560.2094372501</v>
      </c>
      <c r="K68" s="7" t="n">
        <f aca="false">K66-K67</f>
        <v>62740.6282866026</v>
      </c>
      <c r="L68" s="7" t="n">
        <f aca="false">L66-L67</f>
        <v>67759.8785495308</v>
      </c>
    </row>
    <row r="69" customFormat="false" ht="15" hidden="false" customHeight="false" outlineLevel="0" collapsed="false">
      <c r="A69" s="5" t="s">
        <v>483</v>
      </c>
      <c r="C69" s="7" t="n">
        <f aca="false">C68*'Assumptions &amp; Drivers'!$B$25</f>
        <v>6647.464362942</v>
      </c>
      <c r="D69" s="7" t="n">
        <f aca="false">D68*'Assumptions &amp; Drivers'!$B$25</f>
        <v>7668.86517463716</v>
      </c>
      <c r="E69" s="7" t="n">
        <f aca="false">E68*'Assumptions &amp; Drivers'!$B$25</f>
        <v>8768.37170233809</v>
      </c>
      <c r="F69" s="7" t="n">
        <f aca="false">F68*'Assumptions &amp; Drivers'!$B$25</f>
        <v>9935.43684821655</v>
      </c>
      <c r="G69" s="7" t="n">
        <f aca="false">G68*'Assumptions &amp; Drivers'!$B$25</f>
        <v>11155.830102694</v>
      </c>
      <c r="H69" s="7" t="n">
        <f aca="false">H68*'Assumptions &amp; Drivers'!$B$25</f>
        <v>12411.6578342544</v>
      </c>
      <c r="I69" s="7" t="n">
        <f aca="false">I68*'Assumptions &amp; Drivers'!$B$25</f>
        <v>13729.9582143899</v>
      </c>
      <c r="J69" s="7" t="n">
        <f aca="false">J68*'Assumptions &amp; Drivers'!$B$25</f>
        <v>14965.654453685</v>
      </c>
      <c r="K69" s="7" t="n">
        <f aca="false">K68*'Assumptions &amp; Drivers'!$B$25</f>
        <v>16312.5633545167</v>
      </c>
      <c r="L69" s="7" t="n">
        <f aca="false">L68*'Assumptions &amp; Drivers'!$B$25</f>
        <v>17617.568422878</v>
      </c>
    </row>
    <row r="70" customFormat="false" ht="15" hidden="false" customHeight="false" outlineLevel="0" collapsed="false">
      <c r="A70" s="5" t="s">
        <v>484</v>
      </c>
      <c r="C70" s="7" t="n">
        <f aca="false">C68-C69</f>
        <v>18919.706263758</v>
      </c>
      <c r="D70" s="7" t="n">
        <f aca="false">D68-D69</f>
        <v>21826.7701124288</v>
      </c>
      <c r="E70" s="7" t="n">
        <f aca="false">E68-E69</f>
        <v>24956.1348451161</v>
      </c>
      <c r="F70" s="7" t="n">
        <f aca="false">F68-F69</f>
        <v>28277.7817987702</v>
      </c>
      <c r="G70" s="7" t="n">
        <f aca="false">G68-G69</f>
        <v>31751.2087538214</v>
      </c>
      <c r="H70" s="7" t="n">
        <f aca="false">H68-H69</f>
        <v>35325.4876821088</v>
      </c>
      <c r="I70" s="7" t="n">
        <f aca="false">I68-I69</f>
        <v>39077.5733794175</v>
      </c>
      <c r="J70" s="7" t="n">
        <f aca="false">J68-J69</f>
        <v>42594.5549835651</v>
      </c>
      <c r="K70" s="7" t="n">
        <f aca="false">K68-K69</f>
        <v>46428.0649320859</v>
      </c>
      <c r="L70" s="7" t="n">
        <f aca="false">L68-L69</f>
        <v>50142.3101266528</v>
      </c>
    </row>
    <row r="71" customFormat="false" ht="15" hidden="false" customHeight="false" outlineLevel="0" collapsed="false">
      <c r="A71" s="5" t="s">
        <v>485</v>
      </c>
      <c r="C71" s="7" t="n">
        <f aca="false">C64*'Assumptions &amp; Drivers'!$B$26</f>
        <v>6736.2605244</v>
      </c>
      <c r="D71" s="7" t="n">
        <f aca="false">D64*'Assumptions &amp; Drivers'!$B$26</f>
        <v>7679.336997816</v>
      </c>
      <c r="E71" s="7" t="n">
        <f aca="false">E64*'Assumptions &amp; Drivers'!$B$26</f>
        <v>8677.65080753208</v>
      </c>
      <c r="F71" s="7" t="n">
        <f aca="false">F64*'Assumptions &amp; Drivers'!$B$26</f>
        <v>9718.96890443593</v>
      </c>
      <c r="G71" s="7" t="n">
        <f aca="false">G64*'Assumptions &amp; Drivers'!$B$26</f>
        <v>10788.0554839239</v>
      </c>
      <c r="H71" s="7" t="n">
        <f aca="false">H64*'Assumptions &amp; Drivers'!$B$26</f>
        <v>11866.8610323163</v>
      </c>
      <c r="I71" s="7" t="n">
        <f aca="false">I64*'Assumptions &amp; Drivers'!$B$26</f>
        <v>13053.5471355479</v>
      </c>
      <c r="J71" s="7" t="n">
        <f aca="false">J64*'Assumptions &amp; Drivers'!$B$26</f>
        <v>14228.3663777472</v>
      </c>
      <c r="K71" s="7" t="n">
        <f aca="false">K64*'Assumptions &amp; Drivers'!$B$26</f>
        <v>15508.9193517445</v>
      </c>
      <c r="L71" s="7" t="n">
        <f aca="false">L64*'Assumptions &amp; Drivers'!$B$26</f>
        <v>16749.632899884</v>
      </c>
    </row>
    <row r="72" customFormat="false" ht="15" hidden="false" customHeight="false" outlineLevel="0" collapsed="false">
      <c r="A72" s="5" t="s">
        <v>486</v>
      </c>
      <c r="B72" s="8" t="n">
        <f aca="false">'Assumptions &amp; Drivers'!B28</f>
        <v>0.041</v>
      </c>
      <c r="C72" s="8" t="n">
        <f aca="false">'Assumptions &amp; Drivers'!C41</f>
        <v>0.05</v>
      </c>
      <c r="D72" s="8" t="n">
        <f aca="false">'Assumptions &amp; Drivers'!D41</f>
        <v>0.055</v>
      </c>
      <c r="E72" s="8" t="n">
        <f aca="false">'Assumptions &amp; Drivers'!E41</f>
        <v>0.06</v>
      </c>
      <c r="F72" s="8" t="n">
        <f aca="false">'Assumptions &amp; Drivers'!F41</f>
        <v>0.06</v>
      </c>
      <c r="G72" s="8" t="n">
        <f aca="false">'Assumptions &amp; Drivers'!G41</f>
        <v>0.06</v>
      </c>
      <c r="H72" s="8" t="n">
        <f aca="false">'Assumptions &amp; Drivers'!H41</f>
        <v>0.06</v>
      </c>
      <c r="I72" s="8" t="n">
        <f aca="false">'Assumptions &amp; Drivers'!I41</f>
        <v>0.06</v>
      </c>
      <c r="J72" s="8" t="n">
        <f aca="false">'Assumptions &amp; Drivers'!J41</f>
        <v>0.06</v>
      </c>
      <c r="K72" s="8" t="n">
        <f aca="false">'Assumptions &amp; Drivers'!K41</f>
        <v>0.06</v>
      </c>
      <c r="L72" s="8" t="n">
        <f aca="false">'Assumptions &amp; Drivers'!L41</f>
        <v>0.06</v>
      </c>
    </row>
    <row r="73" customFormat="false" ht="15" hidden="false" customHeight="false" outlineLevel="0" collapsed="false">
      <c r="A73" s="5" t="s">
        <v>487</v>
      </c>
      <c r="B73" s="7" t="n">
        <f aca="false">B64*B72</f>
        <v>11012.22813</v>
      </c>
      <c r="C73" s="7" t="n">
        <f aca="false">C64*C72</f>
        <v>15309.68301</v>
      </c>
      <c r="D73" s="7" t="n">
        <f aca="false">D64*D72</f>
        <v>19198.34249454</v>
      </c>
      <c r="E73" s="7" t="n">
        <f aca="false">E64*E72</f>
        <v>23666.3203841784</v>
      </c>
      <c r="F73" s="7" t="n">
        <f aca="false">F64*F72</f>
        <v>26506.2788302798</v>
      </c>
      <c r="G73" s="7" t="n">
        <f aca="false">G64*G72</f>
        <v>29421.9695016106</v>
      </c>
      <c r="H73" s="7" t="n">
        <f aca="false">H64*H72</f>
        <v>32364.1664517716</v>
      </c>
      <c r="I73" s="7" t="n">
        <f aca="false">I64*I72</f>
        <v>35600.5830969488</v>
      </c>
      <c r="J73" s="7" t="n">
        <f aca="false">J64*J72</f>
        <v>38804.6355756742</v>
      </c>
      <c r="K73" s="7" t="n">
        <f aca="false">K64*K72</f>
        <v>42297.0527774849</v>
      </c>
      <c r="L73" s="7" t="n">
        <f aca="false">L64*L72</f>
        <v>45680.8169996837</v>
      </c>
    </row>
    <row r="74" customFormat="false" ht="15" hidden="false" customHeight="false" outlineLevel="0" collapsed="false">
      <c r="A74" s="5" t="s">
        <v>488</v>
      </c>
      <c r="C74" s="7" t="n">
        <f aca="false">C73-B73</f>
        <v>4297.45488</v>
      </c>
      <c r="D74" s="7" t="n">
        <f aca="false">D73-C73</f>
        <v>3888.65948454</v>
      </c>
      <c r="E74" s="7" t="n">
        <f aca="false">E73-D73</f>
        <v>4467.97788963839</v>
      </c>
      <c r="F74" s="7" t="n">
        <f aca="false">F73-E73</f>
        <v>2839.95844610141</v>
      </c>
      <c r="G74" s="7" t="n">
        <f aca="false">G73-F73</f>
        <v>2915.69067133078</v>
      </c>
      <c r="H74" s="7" t="n">
        <f aca="false">H73-G73</f>
        <v>2942.19695016106</v>
      </c>
      <c r="I74" s="7" t="n">
        <f aca="false">I73-H73</f>
        <v>3236.41664517717</v>
      </c>
      <c r="J74" s="7" t="n">
        <f aca="false">J73-I73</f>
        <v>3204.0524787254</v>
      </c>
      <c r="K74" s="7" t="n">
        <f aca="false">K73-J73</f>
        <v>3492.41720181068</v>
      </c>
      <c r="L74" s="7" t="n">
        <f aca="false">L73-K73</f>
        <v>3383.76422219879</v>
      </c>
    </row>
    <row r="75" customFormat="false" ht="15" hidden="false" customHeight="false" outlineLevel="0" collapsed="false">
      <c r="A75" s="13" t="s">
        <v>489</v>
      </c>
      <c r="C75" s="36" t="n">
        <f aca="false">C70+C67-C71-C74</f>
        <v>12785.089422558</v>
      </c>
      <c r="D75" s="36" t="n">
        <f aca="false">D70+D67-D71-D74</f>
        <v>15843.7459921208</v>
      </c>
      <c r="E75" s="36" t="n">
        <f aca="false">E70+E67-E71-E74</f>
        <v>18121.5249170599</v>
      </c>
      <c r="F75" s="36" t="n">
        <f aca="false">F70+F67-F71-F74</f>
        <v>22787.1954696408</v>
      </c>
      <c r="G75" s="36" t="n">
        <f aca="false">G70+G67-G71-G74</f>
        <v>25893.3211323296</v>
      </c>
      <c r="H75" s="36" t="n">
        <f aca="false">H70+H67-H71-H74</f>
        <v>29146.8740867705</v>
      </c>
      <c r="I75" s="36" t="n">
        <f aca="false">I70+I67-I71-I74</f>
        <v>32281.0984245454</v>
      </c>
      <c r="J75" s="36" t="n">
        <f aca="false">J70+J67-J71-J74</f>
        <v>35510.0389472722</v>
      </c>
      <c r="K75" s="36" t="n">
        <f aca="false">K70+K67-K71-K74</f>
        <v>38705.9424525268</v>
      </c>
      <c r="L75" s="36" t="n">
        <f aca="false">L70+L67-L71-L74</f>
        <v>42190.4642044856</v>
      </c>
    </row>
    <row r="76" customFormat="false" ht="15" hidden="false" customHeight="false" outlineLevel="0" collapsed="false">
      <c r="A76" s="5" t="s">
        <v>490</v>
      </c>
      <c r="C76" s="37" t="n">
        <v>1</v>
      </c>
      <c r="D76" s="37" t="n">
        <v>2</v>
      </c>
      <c r="E76" s="37" t="n">
        <v>3</v>
      </c>
      <c r="F76" s="37" t="n">
        <v>4</v>
      </c>
      <c r="G76" s="37" t="n">
        <v>5</v>
      </c>
      <c r="H76" s="37" t="n">
        <v>6</v>
      </c>
      <c r="I76" s="37" t="n">
        <v>7</v>
      </c>
      <c r="J76" s="37" t="n">
        <v>8</v>
      </c>
      <c r="K76" s="37" t="n">
        <v>9</v>
      </c>
      <c r="L76" s="37" t="n">
        <v>10</v>
      </c>
    </row>
    <row r="77" customFormat="false" ht="15" hidden="false" customHeight="false" outlineLevel="0" collapsed="false">
      <c r="A77" s="5" t="s">
        <v>491</v>
      </c>
      <c r="C77" s="29" t="n">
        <f aca="false">1/(1+$B$80)^C76</f>
        <v>0.890510346898798</v>
      </c>
      <c r="D77" s="29" t="n">
        <f aca="false">1/(1+$B$80)^D76</f>
        <v>0.793008677933817</v>
      </c>
      <c r="E77" s="29" t="n">
        <f aca="false">1/(1+$B$80)^E76</f>
        <v>0.7061824328806</v>
      </c>
      <c r="F77" s="29" t="n">
        <f aca="false">1/(1+$B$80)^F76</f>
        <v>0.628862763278341</v>
      </c>
      <c r="G77" s="29" t="n">
        <f aca="false">1/(1+$B$80)^G76</f>
        <v>0.560008797478731</v>
      </c>
      <c r="H77" s="29" t="n">
        <f aca="false">1/(1+$B$80)^H76</f>
        <v>0.498693628509164</v>
      </c>
      <c r="I77" s="29" t="n">
        <f aca="false">1/(1+$B$80)^I76</f>
        <v>0.444091836119916</v>
      </c>
      <c r="J77" s="29" t="n">
        <f aca="false">1/(1+$B$80)^J76</f>
        <v>0.39546837503807</v>
      </c>
      <c r="K77" s="29" t="n">
        <f aca="false">1/(1+$B$80)^K76</f>
        <v>0.352168679842656</v>
      </c>
      <c r="L77" s="29" t="n">
        <f aca="false">1/(1+$B$80)^L76</f>
        <v>0.313609853253575</v>
      </c>
    </row>
    <row r="78" customFormat="false" ht="15" hidden="false" customHeight="false" outlineLevel="0" collapsed="false">
      <c r="A78" s="5" t="s">
        <v>492</v>
      </c>
      <c r="C78" s="7" t="n">
        <f aca="false">C75*C77</f>
        <v>11385.2544168143</v>
      </c>
      <c r="D78" s="7" t="n">
        <f aca="false">D75*D77</f>
        <v>12564.228062731</v>
      </c>
      <c r="E78" s="7" t="n">
        <f aca="false">E75*E77</f>
        <v>12797.1025534358</v>
      </c>
      <c r="F78" s="7" t="n">
        <f aca="false">F75*F77</f>
        <v>14330.018710402</v>
      </c>
      <c r="G78" s="7" t="n">
        <f aca="false">G75*G77</f>
        <v>14500.4876300465</v>
      </c>
      <c r="H78" s="7" t="n">
        <f aca="false">H75*H77</f>
        <v>14535.3603980313</v>
      </c>
      <c r="I78" s="7" t="n">
        <f aca="false">I75*I77</f>
        <v>14335.7722713241</v>
      </c>
      <c r="J78" s="7" t="n">
        <f aca="false">J75*J77</f>
        <v>14043.0974000163</v>
      </c>
      <c r="K78" s="7" t="n">
        <f aca="false">K75*K77</f>
        <v>13631.0206555721</v>
      </c>
      <c r="L78" s="7" t="n">
        <f aca="false">L75*L77</f>
        <v>13231.3452878689</v>
      </c>
    </row>
    <row r="80" customFormat="false" ht="15" hidden="false" customHeight="false" outlineLevel="0" collapsed="false">
      <c r="A80" s="5" t="s">
        <v>493</v>
      </c>
      <c r="B80" s="28" t="n">
        <f aca="false">'Capital Structure &amp; WACC'!B16+'Assumptions &amp; Drivers'!D34</f>
        <v>0.122951578813767</v>
      </c>
    </row>
    <row r="81" customFormat="false" ht="15" hidden="false" customHeight="false" outlineLevel="0" collapsed="false">
      <c r="A81" s="5" t="s">
        <v>116</v>
      </c>
      <c r="B81" s="28" t="n">
        <f aca="false">'Assumptions &amp; Drivers'!D35</f>
        <v>0.055</v>
      </c>
    </row>
    <row r="82" customFormat="false" ht="15" hidden="false" customHeight="false" outlineLevel="0" collapsed="false">
      <c r="A82" s="5" t="s">
        <v>494</v>
      </c>
      <c r="B82" s="7" t="n">
        <f aca="false">SUM(C78:L78)</f>
        <v>135353.687386242</v>
      </c>
    </row>
    <row r="83" customFormat="false" ht="15" hidden="false" customHeight="false" outlineLevel="0" collapsed="false">
      <c r="A83" s="5" t="s">
        <v>495</v>
      </c>
      <c r="B83" s="7" t="n">
        <f aca="false">L75*(1+B81)/(B80-B81)</f>
        <v>655039.080956786</v>
      </c>
    </row>
    <row r="84" customFormat="false" ht="15" hidden="false" customHeight="false" outlineLevel="0" collapsed="false">
      <c r="A84" s="5" t="s">
        <v>496</v>
      </c>
      <c r="B84" s="7" t="n">
        <f aca="false">B83*L77</f>
        <v>205426.710054214</v>
      </c>
    </row>
    <row r="85" customFormat="false" ht="15" hidden="false" customHeight="false" outlineLevel="0" collapsed="false">
      <c r="A85" s="13" t="s">
        <v>497</v>
      </c>
      <c r="B85" s="36" t="n">
        <f aca="false">B82+B84</f>
        <v>340780.397440456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3213A"/>
    <pageSetUpPr fitToPage="false"/>
  </sheetPr>
  <dimension ref="A1:G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6"/>
    <col collapsed="false" customWidth="true" hidden="false" outlineLevel="0" max="7" min="2" style="0" width="14"/>
  </cols>
  <sheetData>
    <row r="1" customFormat="false" ht="17.35" hidden="false" customHeight="false" outlineLevel="0" collapsed="false">
      <c r="A1" s="1" t="s">
        <v>500</v>
      </c>
    </row>
    <row r="2" customFormat="false" ht="15" hidden="false" customHeight="false" outlineLevel="0" collapsed="false">
      <c r="A2" s="2" t="s">
        <v>501</v>
      </c>
    </row>
    <row r="3" customFormat="false" ht="15" hidden="false" customHeight="false" outlineLevel="0" collapsed="false">
      <c r="A3" s="3" t="s">
        <v>502</v>
      </c>
      <c r="B3" s="4" t="s">
        <v>110</v>
      </c>
      <c r="C3" s="4" t="s">
        <v>111</v>
      </c>
      <c r="D3" s="4" t="s">
        <v>112</v>
      </c>
    </row>
    <row r="4" customFormat="false" ht="15" hidden="false" customHeight="false" outlineLevel="0" collapsed="false">
      <c r="A4" s="5" t="s">
        <v>503</v>
      </c>
      <c r="B4" s="7" t="n">
        <f aca="false">'Forecast &amp; FCFF'!B27</f>
        <v>161192.616827429</v>
      </c>
      <c r="C4" s="7" t="n">
        <f aca="false">'Forecast &amp; FCFF'!B56</f>
        <v>248357.22305163</v>
      </c>
      <c r="D4" s="7" t="n">
        <f aca="false">'Forecast &amp; FCFF'!B85</f>
        <v>340780.397440456</v>
      </c>
    </row>
    <row r="5" customFormat="false" ht="15" hidden="false" customHeight="false" outlineLevel="0" collapsed="false">
      <c r="A5" s="5" t="s">
        <v>504</v>
      </c>
      <c r="B5" s="7" t="n">
        <f aca="false">'Segments &amp; Core'!C49*'Assumptions &amp; Drivers'!B22</f>
        <v>47224.692</v>
      </c>
      <c r="C5" s="7" t="n">
        <f aca="false">'Segments &amp; Core'!C49*'Assumptions &amp; Drivers'!B22</f>
        <v>47224.692</v>
      </c>
      <c r="D5" s="7" t="n">
        <f aca="false">'Segments &amp; Core'!C49*'Assumptions &amp; Drivers'!B22</f>
        <v>47224.692</v>
      </c>
    </row>
    <row r="6" customFormat="false" ht="15" hidden="false" customHeight="false" outlineLevel="0" collapsed="false">
      <c r="A6" s="5" t="s">
        <v>505</v>
      </c>
      <c r="B6" s="7" t="n">
        <f aca="false">'Assumptions &amp; Drivers'!B20-'Assumptions &amp; Drivers'!B18</f>
        <v>3280.06</v>
      </c>
      <c r="C6" s="7" t="n">
        <f aca="false">'Assumptions &amp; Drivers'!B20-'Assumptions &amp; Drivers'!B18</f>
        <v>3280.06</v>
      </c>
      <c r="D6" s="7" t="n">
        <f aca="false">'Assumptions &amp; Drivers'!B20-'Assumptions &amp; Drivers'!B18</f>
        <v>3280.06</v>
      </c>
    </row>
    <row r="7" customFormat="false" ht="15" hidden="false" customHeight="false" outlineLevel="0" collapsed="false">
      <c r="A7" s="5" t="s">
        <v>506</v>
      </c>
      <c r="B7" s="7" t="n">
        <f aca="false">'Assumptions &amp; Drivers'!B21</f>
        <v>2258.01</v>
      </c>
      <c r="C7" s="7" t="n">
        <f aca="false">'Assumptions &amp; Drivers'!B21</f>
        <v>2258.01</v>
      </c>
      <c r="D7" s="7" t="n">
        <f aca="false">'Assumptions &amp; Drivers'!B21</f>
        <v>2258.01</v>
      </c>
    </row>
    <row r="8" customFormat="false" ht="15" hidden="false" customHeight="false" outlineLevel="0" collapsed="false">
      <c r="A8" s="5" t="s">
        <v>507</v>
      </c>
      <c r="B8" s="7" t="n">
        <f aca="false">-'Income Statement'!C31*'Assumptions &amp; Drivers'!B23</f>
        <v>-57397.8</v>
      </c>
      <c r="C8" s="7" t="n">
        <f aca="false">-'Income Statement'!C31*'Assumptions &amp; Drivers'!B23</f>
        <v>-57397.8</v>
      </c>
      <c r="D8" s="7" t="n">
        <f aca="false">-'Income Statement'!C31*'Assumptions &amp; Drivers'!B23</f>
        <v>-57397.8</v>
      </c>
    </row>
    <row r="9" customFormat="false" ht="15" hidden="false" customHeight="false" outlineLevel="0" collapsed="false">
      <c r="A9" s="13" t="s">
        <v>508</v>
      </c>
      <c r="B9" s="36" t="n">
        <f aca="false">SUM(B4:B8)</f>
        <v>156557.578827429</v>
      </c>
      <c r="C9" s="36" t="n">
        <f aca="false">SUM(C4:C8)</f>
        <v>243722.18505163</v>
      </c>
      <c r="D9" s="36" t="n">
        <f aca="false">SUM(D4:D8)</f>
        <v>336145.359440457</v>
      </c>
    </row>
    <row r="10" customFormat="false" ht="15" hidden="false" customHeight="false" outlineLevel="0" collapsed="false">
      <c r="A10" s="5" t="s">
        <v>10</v>
      </c>
      <c r="B10" s="18" t="n">
        <f aca="false">'Assumptions &amp; Drivers'!B9</f>
        <v>137.565</v>
      </c>
      <c r="C10" s="18" t="n">
        <f aca="false">'Assumptions &amp; Drivers'!B9</f>
        <v>137.565</v>
      </c>
      <c r="D10" s="18" t="n">
        <f aca="false">'Assumptions &amp; Drivers'!B9</f>
        <v>137.565</v>
      </c>
    </row>
    <row r="11" customFormat="false" ht="15" hidden="false" customHeight="false" outlineLevel="0" collapsed="false">
      <c r="A11" s="13" t="s">
        <v>509</v>
      </c>
      <c r="B11" s="38" t="n">
        <f aca="false">B9/B10</f>
        <v>1138.06258007072</v>
      </c>
      <c r="C11" s="38" t="n">
        <f aca="false">C9/C10</f>
        <v>1771.6874572139</v>
      </c>
      <c r="D11" s="38" t="n">
        <f aca="false">D9/D10</f>
        <v>2443.53839596159</v>
      </c>
    </row>
    <row r="12" customFormat="false" ht="15" hidden="false" customHeight="false" outlineLevel="0" collapsed="false">
      <c r="A12" s="5" t="s">
        <v>510</v>
      </c>
      <c r="B12" s="10" t="n">
        <f aca="false">'Assumptions &amp; Drivers'!B5</f>
        <v>3837</v>
      </c>
      <c r="C12" s="10" t="n">
        <f aca="false">'Assumptions &amp; Drivers'!B5</f>
        <v>3837</v>
      </c>
      <c r="D12" s="10" t="n">
        <f aca="false">'Assumptions &amp; Drivers'!B5</f>
        <v>3837</v>
      </c>
    </row>
    <row r="13" customFormat="false" ht="15" hidden="false" customHeight="false" outlineLevel="0" collapsed="false">
      <c r="A13" s="5" t="s">
        <v>511</v>
      </c>
      <c r="B13" s="8" t="n">
        <f aca="false">B11/B12-1</f>
        <v>-0.703397815983654</v>
      </c>
      <c r="C13" s="8" t="n">
        <f aca="false">C11/C12-1</f>
        <v>-0.538262325458979</v>
      </c>
      <c r="D13" s="8" t="n">
        <f aca="false">D11/D12-1</f>
        <v>-0.363164348198699</v>
      </c>
    </row>
    <row r="14" customFormat="false" ht="15" hidden="false" customHeight="false" outlineLevel="0" collapsed="false">
      <c r="A14" s="5" t="s">
        <v>512</v>
      </c>
      <c r="B14" s="8" t="n">
        <f aca="false">'Forecast &amp; FCFF'!B26/'Forecast &amp; FCFF'!B27</f>
        <v>0.458826018419314</v>
      </c>
      <c r="C14" s="8" t="n">
        <f aca="false">'Forecast &amp; FCFF'!B55/'Forecast &amp; FCFF'!B56</f>
        <v>0.544890646940184</v>
      </c>
      <c r="D14" s="8" t="n">
        <f aca="false">'Forecast &amp; FCFF'!B84/'Forecast &amp; FCFF'!B85</f>
        <v>0.602812578414543</v>
      </c>
    </row>
    <row r="15" customFormat="false" ht="15" hidden="false" customHeight="false" outlineLevel="0" collapsed="false">
      <c r="A15" s="5" t="s">
        <v>513</v>
      </c>
      <c r="B15" s="31" t="n">
        <f aca="false">B4/'Segments &amp; Core'!C46</f>
        <v>6.41713600402836</v>
      </c>
      <c r="C15" s="31" t="n">
        <f aca="false">C4/'Segments &amp; Core'!C46</f>
        <v>9.88719030234097</v>
      </c>
      <c r="D15" s="31" t="n">
        <f aca="false">D4/'Segments &amp; Core'!C46</f>
        <v>13.56659008907</v>
      </c>
    </row>
    <row r="16" customFormat="false" ht="15" hidden="false" customHeight="false" outlineLevel="0" collapsed="false">
      <c r="A16" s="5" t="s">
        <v>514</v>
      </c>
      <c r="B16" s="7" t="n">
        <f aca="false">SUM(B5:B8)</f>
        <v>-4635.03799999996</v>
      </c>
      <c r="C16" s="7" t="n">
        <f aca="false">SUM(C5:C8)</f>
        <v>-4635.03799999996</v>
      </c>
      <c r="D16" s="7" t="n">
        <f aca="false">SUM(D5:D8)</f>
        <v>-4635.03799999996</v>
      </c>
    </row>
    <row r="18" customFormat="false" ht="15" hidden="false" customHeight="false" outlineLevel="0" collapsed="false">
      <c r="A18" s="12" t="s">
        <v>515</v>
      </c>
    </row>
    <row r="19" customFormat="false" ht="15" hidden="false" customHeight="false" outlineLevel="0" collapsed="false">
      <c r="A19" s="3" t="s">
        <v>516</v>
      </c>
      <c r="B19" s="39" t="n">
        <v>0.04</v>
      </c>
      <c r="C19" s="39" t="n">
        <v>0.045</v>
      </c>
      <c r="D19" s="39" t="n">
        <v>0.05</v>
      </c>
      <c r="E19" s="39" t="n">
        <v>0.055</v>
      </c>
      <c r="F19" s="39" t="n">
        <v>0.06</v>
      </c>
      <c r="G19" s="39" t="n">
        <v>0.065</v>
      </c>
    </row>
    <row r="20" customFormat="false" ht="15" hidden="false" customHeight="false" outlineLevel="0" collapsed="false">
      <c r="A20" s="22" t="n">
        <v>0.09</v>
      </c>
      <c r="B20" s="10" t="n">
        <f aca="false">(SUMPRODUCT('Forecast &amp; FCFF'!$C$46:$L$46/(1+$A20)^'Forecast &amp; FCFF'!$C$47:$L$47)+'Forecast &amp; FCFF'!$L$46*(1+B$19)/($A20-B$19)/(1+$A20)^10+$C$16)/$C$10</f>
        <v>3100.17921052547</v>
      </c>
      <c r="C20" s="10" t="n">
        <f aca="false">(SUMPRODUCT('Forecast &amp; FCFF'!$C$46:$L$46/(1+$A20)^'Forecast &amp; FCFF'!$C$47:$L$47)+'Forecast &amp; FCFF'!$L$46*(1+C$19)/($A20-C$19)/(1+$A20)^10+$C$16)/$C$10</f>
        <v>3349.27557098942</v>
      </c>
      <c r="D20" s="10" t="n">
        <f aca="false">(SUMPRODUCT('Forecast &amp; FCFF'!$C$46:$L$46/(1+$A20)^'Forecast &amp; FCFF'!$C$47:$L$47)+'Forecast &amp; FCFF'!$L$46*(1+D$19)/($A20-D$19)/(1+$A20)^10+$C$16)/$C$10</f>
        <v>3660.64602156936</v>
      </c>
      <c r="E20" s="10" t="n">
        <f aca="false">(SUMPRODUCT('Forecast &amp; FCFF'!$C$46:$L$46/(1+$A20)^'Forecast &amp; FCFF'!$C$47:$L$47)+'Forecast &amp; FCFF'!$L$46*(1+E$19)/($A20-E$19)/(1+$A20)^10+$C$16)/$C$10</f>
        <v>4060.97945802929</v>
      </c>
      <c r="F20" s="10" t="n">
        <f aca="false">(SUMPRODUCT('Forecast &amp; FCFF'!$C$46:$L$46/(1+$A20)^'Forecast &amp; FCFF'!$C$47:$L$47)+'Forecast &amp; FCFF'!$L$46*(1+F$19)/($A20-F$19)/(1+$A20)^10+$C$16)/$C$10</f>
        <v>4594.75737330919</v>
      </c>
      <c r="G20" s="10" t="n">
        <f aca="false">(SUMPRODUCT('Forecast &amp; FCFF'!$C$46:$L$46/(1+$A20)^'Forecast &amp; FCFF'!$C$47:$L$47)+'Forecast &amp; FCFF'!$L$46*(1+G$19)/($A20-G$19)/(1+$A20)^10+$C$16)/$C$10</f>
        <v>5342.04645470105</v>
      </c>
    </row>
    <row r="21" customFormat="false" ht="15" hidden="false" customHeight="false" outlineLevel="0" collapsed="false">
      <c r="A21" s="22" t="n">
        <v>0.1</v>
      </c>
      <c r="B21" s="10" t="n">
        <f aca="false">(SUMPRODUCT('Forecast &amp; FCFF'!$C$46:$L$46/(1+$A21)^'Forecast &amp; FCFF'!$C$47:$L$47)+'Forecast &amp; FCFF'!$L$46*(1+B$19)/($A21-B$19)/(1+$A21)^10+$C$16)/$C$10</f>
        <v>2537.75399100057</v>
      </c>
      <c r="C21" s="10" t="n">
        <f aca="false">(SUMPRODUCT('Forecast &amp; FCFF'!$C$46:$L$46/(1+$A21)^'Forecast &amp; FCFF'!$C$47:$L$47)+'Forecast &amp; FCFF'!$L$46*(1+C$19)/($A21-C$19)/(1+$A21)^10+$C$16)/$C$10</f>
        <v>2694.19127791736</v>
      </c>
      <c r="D21" s="10" t="n">
        <f aca="false">(SUMPRODUCT('Forecast &amp; FCFF'!$C$46:$L$46/(1+$A21)^'Forecast &amp; FCFF'!$C$47:$L$47)+'Forecast &amp; FCFF'!$L$46*(1+D$19)/($A21-D$19)/(1+$A21)^10+$C$16)/$C$10</f>
        <v>2881.91602221749</v>
      </c>
      <c r="E21" s="10" t="n">
        <f aca="false">(SUMPRODUCT('Forecast &amp; FCFF'!$C$46:$L$46/(1+$A21)^'Forecast &amp; FCFF'!$C$47:$L$47)+'Forecast &amp; FCFF'!$L$46*(1+E$19)/($A21-E$19)/(1+$A21)^10+$C$16)/$C$10</f>
        <v>3111.3573763621</v>
      </c>
      <c r="F21" s="10" t="n">
        <f aca="false">(SUMPRODUCT('Forecast &amp; FCFF'!$C$46:$L$46/(1+$A21)^'Forecast &amp; FCFF'!$C$47:$L$47)+'Forecast &amp; FCFF'!$L$46*(1+F$19)/($A21-F$19)/(1+$A21)^10+$C$16)/$C$10</f>
        <v>3398.15906904287</v>
      </c>
      <c r="G21" s="10" t="n">
        <f aca="false">(SUMPRODUCT('Forecast &amp; FCFF'!$C$46:$L$46/(1+$A21)^'Forecast &amp; FCFF'!$C$47:$L$47)+'Forecast &amp; FCFF'!$L$46*(1+G$19)/($A21-G$19)/(1+$A21)^10+$C$16)/$C$10</f>
        <v>3766.90410248956</v>
      </c>
    </row>
    <row r="22" customFormat="false" ht="15" hidden="false" customHeight="false" outlineLevel="0" collapsed="false">
      <c r="A22" s="22" t="n">
        <v>0.11</v>
      </c>
      <c r="B22" s="10" t="n">
        <f aca="false">(SUMPRODUCT('Forecast &amp; FCFF'!$C$46:$L$46/(1+$A22)^'Forecast &amp; FCFF'!$C$47:$L$47)+'Forecast &amp; FCFF'!$L$46*(1+B$19)/($A22-B$19)/(1+$A22)^10+$C$16)/$C$10</f>
        <v>2137.87210154001</v>
      </c>
      <c r="C22" s="10" t="n">
        <f aca="false">(SUMPRODUCT('Forecast &amp; FCFF'!$C$46:$L$46/(1+$A22)^'Forecast &amp; FCFF'!$C$47:$L$47)+'Forecast &amp; FCFF'!$L$46*(1+C$19)/($A22-C$19)/(1+$A22)^10+$C$16)/$C$10</f>
        <v>2242.45728822623</v>
      </c>
      <c r="D22" s="10" t="n">
        <f aca="false">(SUMPRODUCT('Forecast &amp; FCFF'!$C$46:$L$46/(1+$A22)^'Forecast &amp; FCFF'!$C$47:$L$47)+'Forecast &amp; FCFF'!$L$46*(1+D$19)/($A22-D$19)/(1+$A22)^10+$C$16)/$C$10</f>
        <v>2364.47333936014</v>
      </c>
      <c r="E22" s="10" t="n">
        <f aca="false">(SUMPRODUCT('Forecast &amp; FCFF'!$C$46:$L$46/(1+$A22)^'Forecast &amp; FCFF'!$C$47:$L$47)+'Forecast &amp; FCFF'!$L$46*(1+E$19)/($A22-E$19)/(1+$A22)^10+$C$16)/$C$10</f>
        <v>2508.67412706386</v>
      </c>
      <c r="F22" s="10" t="n">
        <f aca="false">(SUMPRODUCT('Forecast &amp; FCFF'!$C$46:$L$46/(1+$A22)^'Forecast &amp; FCFF'!$C$47:$L$47)+'Forecast &amp; FCFF'!$L$46*(1+F$19)/($A22-F$19)/(1+$A22)^10+$C$16)/$C$10</f>
        <v>2681.71507230832</v>
      </c>
      <c r="G22" s="10" t="n">
        <f aca="false">(SUMPRODUCT('Forecast &amp; FCFF'!$C$46:$L$46/(1+$A22)^'Forecast &amp; FCFF'!$C$47:$L$47)+'Forecast &amp; FCFF'!$L$46*(1+G$19)/($A22-G$19)/(1+$A22)^10+$C$16)/$C$10</f>
        <v>2893.20956094044</v>
      </c>
    </row>
    <row r="23" customFormat="false" ht="15" hidden="false" customHeight="false" outlineLevel="0" collapsed="false">
      <c r="A23" s="22" t="n">
        <v>0.12</v>
      </c>
      <c r="B23" s="10" t="n">
        <f aca="false">(SUMPRODUCT('Forecast &amp; FCFF'!$C$46:$L$46/(1+$A23)^'Forecast &amp; FCFF'!$C$47:$L$47)+'Forecast &amp; FCFF'!$L$46*(1+B$19)/($A23-B$19)/(1+$A23)^10+$C$16)/$C$10</f>
        <v>1839.46729407552</v>
      </c>
      <c r="C23" s="10" t="n">
        <f aca="false">(SUMPRODUCT('Forecast &amp; FCFF'!$C$46:$L$46/(1+$A23)^'Forecast &amp; FCFF'!$C$47:$L$47)+'Forecast &amp; FCFF'!$L$46*(1+C$19)/($A23-C$19)/(1+$A23)^10+$C$16)/$C$10</f>
        <v>1912.62750135935</v>
      </c>
      <c r="D23" s="10" t="n">
        <f aca="false">(SUMPRODUCT('Forecast &amp; FCFF'!$C$46:$L$46/(1+$A23)^'Forecast &amp; FCFF'!$C$47:$L$47)+'Forecast &amp; FCFF'!$L$46*(1+D$19)/($A23-D$19)/(1+$A23)^10+$C$16)/$C$10</f>
        <v>1996.23916682659</v>
      </c>
      <c r="E23" s="10" t="n">
        <f aca="false">(SUMPRODUCT('Forecast &amp; FCFF'!$C$46:$L$46/(1+$A23)^'Forecast &amp; FCFF'!$C$47:$L$47)+'Forecast &amp; FCFF'!$L$46*(1+E$19)/($A23-E$19)/(1+$A23)^10+$C$16)/$C$10</f>
        <v>2092.71416544263</v>
      </c>
      <c r="F23" s="10" t="n">
        <f aca="false">(SUMPRODUCT('Forecast &amp; FCFF'!$C$46:$L$46/(1+$A23)^'Forecast &amp; FCFF'!$C$47:$L$47)+'Forecast &amp; FCFF'!$L$46*(1+F$19)/($A23-F$19)/(1+$A23)^10+$C$16)/$C$10</f>
        <v>2205.26833049468</v>
      </c>
      <c r="G23" s="10" t="n">
        <f aca="false">(SUMPRODUCT('Forecast &amp; FCFF'!$C$46:$L$46/(1+$A23)^'Forecast &amp; FCFF'!$C$47:$L$47)+'Forecast &amp; FCFF'!$L$46*(1+G$19)/($A23-G$19)/(1+$A23)^10+$C$16)/$C$10</f>
        <v>2338.28688919256</v>
      </c>
    </row>
    <row r="24" customFormat="false" ht="15" hidden="false" customHeight="false" outlineLevel="0" collapsed="false">
      <c r="A24" s="22" t="n">
        <v>0.13</v>
      </c>
      <c r="B24" s="10" t="n">
        <f aca="false">(SUMPRODUCT('Forecast &amp; FCFF'!$C$46:$L$46/(1+$A24)^'Forecast &amp; FCFF'!$C$47:$L$47)+'Forecast &amp; FCFF'!$L$46*(1+B$19)/($A24-B$19)/(1+$A24)^10+$C$16)/$C$10</f>
        <v>1608.62212779116</v>
      </c>
      <c r="C24" s="10" t="n">
        <f aca="false">(SUMPRODUCT('Forecast &amp; FCFF'!$C$46:$L$46/(1+$A24)^'Forecast &amp; FCFF'!$C$47:$L$47)+'Forecast &amp; FCFF'!$L$46*(1+C$19)/($A24-C$19)/(1+$A24)^10+$C$16)/$C$10</f>
        <v>1661.59102792774</v>
      </c>
      <c r="D24" s="10" t="n">
        <f aca="false">(SUMPRODUCT('Forecast &amp; FCFF'!$C$46:$L$46/(1+$A24)^'Forecast &amp; FCFF'!$C$47:$L$47)+'Forecast &amp; FCFF'!$L$46*(1+D$19)/($A24-D$19)/(1+$A24)^10+$C$16)/$C$10</f>
        <v>1721.18104058139</v>
      </c>
      <c r="E24" s="10" t="n">
        <f aca="false">(SUMPRODUCT('Forecast &amp; FCFF'!$C$46:$L$46/(1+$A24)^'Forecast &amp; FCFF'!$C$47:$L$47)+'Forecast &amp; FCFF'!$L$46*(1+E$19)/($A24-E$19)/(1+$A24)^10+$C$16)/$C$10</f>
        <v>1788.71638825552</v>
      </c>
      <c r="F24" s="10" t="n">
        <f aca="false">(SUMPRODUCT('Forecast &amp; FCFF'!$C$46:$L$46/(1+$A24)^'Forecast &amp; FCFF'!$C$47:$L$47)+'Forecast &amp; FCFF'!$L$46*(1+F$19)/($A24-F$19)/(1+$A24)^10+$C$16)/$C$10</f>
        <v>1865.89964274025</v>
      </c>
      <c r="G24" s="10" t="n">
        <f aca="false">(SUMPRODUCT('Forecast &amp; FCFF'!$C$46:$L$46/(1+$A24)^'Forecast &amp; FCFF'!$C$47:$L$47)+'Forecast &amp; FCFF'!$L$46*(1+G$19)/($A24-G$19)/(1+$A24)^10+$C$16)/$C$10</f>
        <v>1954.95724406878</v>
      </c>
    </row>
    <row r="25" customFormat="false" ht="15" hidden="false" customHeight="false" outlineLevel="0" collapsed="false">
      <c r="A25" s="22" t="n">
        <v>0.14</v>
      </c>
      <c r="B25" s="10" t="n">
        <f aca="false">(SUMPRODUCT('Forecast &amp; FCFF'!$C$46:$L$46/(1+$A25)^'Forecast &amp; FCFF'!$C$47:$L$47)+'Forecast &amp; FCFF'!$L$46*(1+B$19)/($A25-B$19)/(1+$A25)^10+$C$16)/$C$10</f>
        <v>1424.9928682813</v>
      </c>
      <c r="C25" s="10" t="n">
        <f aca="false">(SUMPRODUCT('Forecast &amp; FCFF'!$C$46:$L$46/(1+$A25)^'Forecast &amp; FCFF'!$C$47:$L$47)+'Forecast &amp; FCFF'!$L$46*(1+C$19)/($A25-C$19)/(1+$A25)^10+$C$16)/$C$10</f>
        <v>1464.39512664513</v>
      </c>
      <c r="D25" s="10" t="n">
        <f aca="false">(SUMPRODUCT('Forecast &amp; FCFF'!$C$46:$L$46/(1+$A25)^'Forecast &amp; FCFF'!$C$47:$L$47)+'Forecast &amp; FCFF'!$L$46*(1+D$19)/($A25-D$19)/(1+$A25)^10+$C$16)/$C$10</f>
        <v>1508.17541371606</v>
      </c>
      <c r="E25" s="10" t="n">
        <f aca="false">(SUMPRODUCT('Forecast &amp; FCFF'!$C$46:$L$46/(1+$A25)^'Forecast &amp; FCFF'!$C$47:$L$47)+'Forecast &amp; FCFF'!$L$46*(1+E$19)/($A25-E$19)/(1+$A25)^10+$C$16)/$C$10</f>
        <v>1557.10632279533</v>
      </c>
      <c r="F25" s="10" t="n">
        <f aca="false">(SUMPRODUCT('Forecast &amp; FCFF'!$C$46:$L$46/(1+$A25)^'Forecast &amp; FCFF'!$C$47:$L$47)+'Forecast &amp; FCFF'!$L$46*(1+F$19)/($A25-F$19)/(1+$A25)^10+$C$16)/$C$10</f>
        <v>1612.1535955095</v>
      </c>
      <c r="G25" s="10" t="n">
        <f aca="false">(SUMPRODUCT('Forecast &amp; FCFF'!$C$46:$L$46/(1+$A25)^'Forecast &amp; FCFF'!$C$47:$L$47)+'Forecast &amp; FCFF'!$L$46*(1+G$19)/($A25-G$19)/(1+$A25)^10+$C$16)/$C$10</f>
        <v>1674.54050458557</v>
      </c>
    </row>
    <row r="26" customFormat="false" ht="15" hidden="false" customHeight="false" outlineLevel="0" collapsed="false">
      <c r="A26" s="22" t="n">
        <v>0.15</v>
      </c>
      <c r="B26" s="10" t="n">
        <f aca="false">(SUMPRODUCT('Forecast &amp; FCFF'!$C$46:$L$46/(1+$A26)^'Forecast &amp; FCFF'!$C$47:$L$47)+'Forecast &amp; FCFF'!$L$46*(1+B$19)/($A26-B$19)/(1+$A26)^10+$C$16)/$C$10</f>
        <v>1275.63905312549</v>
      </c>
      <c r="C26" s="10" t="n">
        <f aca="false">(SUMPRODUCT('Forecast &amp; FCFF'!$C$46:$L$46/(1+$A26)^'Forecast &amp; FCFF'!$C$47:$L$47)+'Forecast &amp; FCFF'!$L$46*(1+C$19)/($A26-C$19)/(1+$A26)^10+$C$16)/$C$10</f>
        <v>1305.59795112142</v>
      </c>
      <c r="D26" s="10" t="n">
        <f aca="false">(SUMPRODUCT('Forecast &amp; FCFF'!$C$46:$L$46/(1+$A26)^'Forecast &amp; FCFF'!$C$47:$L$47)+'Forecast &amp; FCFF'!$L$46*(1+D$19)/($A26-D$19)/(1+$A26)^10+$C$16)/$C$10</f>
        <v>1338.55273891694</v>
      </c>
      <c r="E26" s="10" t="n">
        <f aca="false">(SUMPRODUCT('Forecast &amp; FCFF'!$C$46:$L$46/(1+$A26)^'Forecast &amp; FCFF'!$C$47:$L$47)+'Forecast &amp; FCFF'!$L$46*(1+E$19)/($A26-E$19)/(1+$A26)^10+$C$16)/$C$10</f>
        <v>1374.97645174357</v>
      </c>
      <c r="F26" s="10" t="n">
        <f aca="false">(SUMPRODUCT('Forecast &amp; FCFF'!$C$46:$L$46/(1+$A26)^'Forecast &amp; FCFF'!$C$47:$L$47)+'Forecast &amp; FCFF'!$L$46*(1+F$19)/($A26-F$19)/(1+$A26)^10+$C$16)/$C$10</f>
        <v>1415.44724377316</v>
      </c>
      <c r="G26" s="10" t="n">
        <f aca="false">(SUMPRODUCT('Forecast &amp; FCFF'!$C$46:$L$46/(1+$A26)^'Forecast &amp; FCFF'!$C$47:$L$47)+'Forecast &amp; FCFF'!$L$46*(1+G$19)/($A26-G$19)/(1+$A26)^10+$C$16)/$C$10</f>
        <v>1460.67930545328</v>
      </c>
    </row>
    <row r="28" customFormat="false" ht="15" hidden="false" customHeight="false" outlineLevel="0" collapsed="false">
      <c r="A28" s="2" t="s">
        <v>517</v>
      </c>
    </row>
  </sheetData>
  <conditionalFormatting sqref="B20:G26">
    <cfRule type="cellIs" priority="2" operator="greaterThanOrEqual" aboveAverage="0" equalAverage="0" bottom="0" percent="0" rank="0" text="" dxfId="0">
      <formula>$C$12</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C7430"/>
    <pageSetUpPr fitToPage="false"/>
  </sheetPr>
  <dimension ref="A1:V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22" min="2" style="0" width="14"/>
  </cols>
  <sheetData>
    <row r="1" customFormat="false" ht="17.35" hidden="false" customHeight="false" outlineLevel="0" collapsed="false">
      <c r="A1" s="1" t="s">
        <v>518</v>
      </c>
    </row>
    <row r="2" customFormat="false" ht="15" hidden="false" customHeight="false" outlineLevel="0" collapsed="false">
      <c r="A2" s="2" t="s">
        <v>519</v>
      </c>
    </row>
    <row r="4" customFormat="false" ht="15" hidden="false" customHeight="false" outlineLevel="0" collapsed="false">
      <c r="A4" s="3" t="s">
        <v>4</v>
      </c>
      <c r="B4" s="4" t="s">
        <v>520</v>
      </c>
      <c r="C4" s="4" t="s">
        <v>521</v>
      </c>
      <c r="D4" s="4" t="s">
        <v>522</v>
      </c>
      <c r="E4" s="4" t="s">
        <v>523</v>
      </c>
      <c r="F4" s="4" t="s">
        <v>524</v>
      </c>
      <c r="G4" s="4" t="s">
        <v>525</v>
      </c>
      <c r="H4" s="4" t="s">
        <v>526</v>
      </c>
      <c r="I4" s="4" t="s">
        <v>527</v>
      </c>
      <c r="J4" s="4" t="s">
        <v>528</v>
      </c>
      <c r="K4" s="4" t="s">
        <v>529</v>
      </c>
      <c r="L4" s="4" t="s">
        <v>530</v>
      </c>
      <c r="M4" s="4" t="s">
        <v>531</v>
      </c>
      <c r="N4" s="4" t="s">
        <v>532</v>
      </c>
      <c r="O4" s="4" t="s">
        <v>533</v>
      </c>
      <c r="P4" s="4" t="s">
        <v>534</v>
      </c>
      <c r="Q4" s="4" t="s">
        <v>535</v>
      </c>
      <c r="S4" s="2" t="s">
        <v>536</v>
      </c>
      <c r="T4" s="2" t="s">
        <v>537</v>
      </c>
      <c r="U4" s="2" t="s">
        <v>538</v>
      </c>
      <c r="V4" s="2" t="s">
        <v>539</v>
      </c>
    </row>
    <row r="5" customFormat="false" ht="15" hidden="false" customHeight="false" outlineLevel="0" collapsed="false">
      <c r="A5" s="5" t="s">
        <v>540</v>
      </c>
      <c r="B5" s="17" t="n">
        <v>1250</v>
      </c>
      <c r="C5" s="17" t="n">
        <v>16.25</v>
      </c>
      <c r="D5" s="7" t="n">
        <f aca="false">B5*C5</f>
        <v>20312.5</v>
      </c>
      <c r="E5" s="17" t="n">
        <v>3450</v>
      </c>
      <c r="F5" s="17" t="n">
        <v>850</v>
      </c>
      <c r="G5" s="7" t="n">
        <f aca="false">E5-F5</f>
        <v>2600</v>
      </c>
      <c r="H5" s="7" t="n">
        <f aca="false">D5+G5</f>
        <v>22912.5</v>
      </c>
      <c r="I5" s="17" t="n">
        <v>19500</v>
      </c>
      <c r="J5" s="17" t="n">
        <v>1911</v>
      </c>
      <c r="K5" s="17" t="n">
        <v>1423</v>
      </c>
      <c r="L5" s="17" t="n">
        <v>685</v>
      </c>
      <c r="M5" s="31" t="n">
        <f aca="false">H5/I5</f>
        <v>1.175</v>
      </c>
      <c r="N5" s="31" t="n">
        <f aca="false">H5/J5</f>
        <v>11.9897959183673</v>
      </c>
      <c r="O5" s="31" t="n">
        <f aca="false">H5/K5</f>
        <v>16.1015460295151</v>
      </c>
      <c r="P5" s="31" t="n">
        <f aca="false">D5/L5</f>
        <v>29.6532846715328</v>
      </c>
      <c r="Q5" s="16" t="n">
        <v>1</v>
      </c>
      <c r="S5" s="40" t="n">
        <f aca="false">IF($Q5=1,M5,"")</f>
        <v>1.175</v>
      </c>
      <c r="T5" s="40" t="n">
        <f aca="false">IF($Q5=1,N5,"")</f>
        <v>11.9897959183673</v>
      </c>
      <c r="U5" s="40" t="n">
        <f aca="false">IF($Q5=1,O5,"")</f>
        <v>16.1015460295151</v>
      </c>
      <c r="V5" s="40" t="n">
        <f aca="false">IF($Q5=1,P5,"")</f>
        <v>29.6532846715328</v>
      </c>
    </row>
    <row r="6" customFormat="false" ht="15" hidden="false" customHeight="false" outlineLevel="0" collapsed="false">
      <c r="A6" s="5" t="s">
        <v>541</v>
      </c>
      <c r="B6" s="17" t="n">
        <v>850</v>
      </c>
      <c r="C6" s="17" t="n">
        <v>25.71</v>
      </c>
      <c r="D6" s="7" t="n">
        <f aca="false">B6*C6</f>
        <v>21853.5</v>
      </c>
      <c r="E6" s="17" t="n">
        <v>4120</v>
      </c>
      <c r="F6" s="17" t="n">
        <v>620</v>
      </c>
      <c r="G6" s="7" t="n">
        <f aca="false">E6-F6</f>
        <v>3500</v>
      </c>
      <c r="H6" s="7" t="n">
        <f aca="false">D6+G6</f>
        <v>25353.5</v>
      </c>
      <c r="I6" s="17" t="n">
        <v>19900</v>
      </c>
      <c r="J6" s="17" t="n">
        <v>1691.5</v>
      </c>
      <c r="K6" s="17" t="n">
        <v>1285</v>
      </c>
      <c r="L6" s="17" t="n">
        <v>560</v>
      </c>
      <c r="M6" s="31" t="n">
        <f aca="false">H6/I6</f>
        <v>1.27404522613065</v>
      </c>
      <c r="N6" s="31" t="n">
        <f aca="false">H6/J6</f>
        <v>14.988767366243</v>
      </c>
      <c r="O6" s="31" t="n">
        <f aca="false">H6/K6</f>
        <v>19.7303501945525</v>
      </c>
      <c r="P6" s="31" t="n">
        <f aca="false">D6/L6</f>
        <v>39.0241071428571</v>
      </c>
      <c r="Q6" s="16" t="n">
        <v>1</v>
      </c>
      <c r="S6" s="40" t="n">
        <f aca="false">IF($Q6=1,M6,"")</f>
        <v>1.27404522613065</v>
      </c>
      <c r="T6" s="40" t="n">
        <f aca="false">IF($Q6=1,N6,"")</f>
        <v>14.988767366243</v>
      </c>
      <c r="U6" s="40" t="n">
        <f aca="false">IF($Q6=1,O6,"")</f>
        <v>19.7303501945525</v>
      </c>
      <c r="V6" s="40" t="n">
        <f aca="false">IF($Q6=1,P6,"")</f>
        <v>39.0241071428571</v>
      </c>
    </row>
    <row r="7" customFormat="false" ht="15" hidden="false" customHeight="false" outlineLevel="0" collapsed="false">
      <c r="A7" s="5" t="s">
        <v>542</v>
      </c>
      <c r="B7" s="17" t="n">
        <v>315</v>
      </c>
      <c r="C7" s="17" t="n">
        <v>62.8</v>
      </c>
      <c r="D7" s="7" t="n">
        <f aca="false">B7*C7</f>
        <v>19782</v>
      </c>
      <c r="E7" s="17" t="n">
        <v>2150</v>
      </c>
      <c r="F7" s="17" t="n">
        <v>480</v>
      </c>
      <c r="G7" s="7" t="n">
        <f aca="false">E7-F7</f>
        <v>1670</v>
      </c>
      <c r="H7" s="7" t="n">
        <f aca="false">D7+G7</f>
        <v>21452</v>
      </c>
      <c r="I7" s="17" t="n">
        <v>20800</v>
      </c>
      <c r="J7" s="17" t="n">
        <v>2121.6</v>
      </c>
      <c r="K7" s="17" t="n">
        <v>1620</v>
      </c>
      <c r="L7" s="17" t="n">
        <v>810</v>
      </c>
      <c r="M7" s="31" t="n">
        <f aca="false">H7/I7</f>
        <v>1.03134615384615</v>
      </c>
      <c r="N7" s="31" t="n">
        <f aca="false">H7/J7</f>
        <v>10.1112368024133</v>
      </c>
      <c r="O7" s="31" t="n">
        <f aca="false">H7/K7</f>
        <v>13.241975308642</v>
      </c>
      <c r="P7" s="31" t="n">
        <f aca="false">D7/L7</f>
        <v>24.4222222222222</v>
      </c>
      <c r="Q7" s="16" t="n">
        <v>1</v>
      </c>
      <c r="S7" s="40" t="n">
        <f aca="false">IF($Q7=1,M7,"")</f>
        <v>1.03134615384615</v>
      </c>
      <c r="T7" s="40" t="n">
        <f aca="false">IF($Q7=1,N7,"")</f>
        <v>10.1112368024133</v>
      </c>
      <c r="U7" s="40" t="n">
        <f aca="false">IF($Q7=1,O7,"")</f>
        <v>13.241975308642</v>
      </c>
      <c r="V7" s="40" t="n">
        <f aca="false">IF($Q7=1,P7,"")</f>
        <v>24.4222222222222</v>
      </c>
    </row>
    <row r="8" customFormat="false" ht="15" hidden="false" customHeight="false" outlineLevel="0" collapsed="false">
      <c r="A8" s="5" t="s">
        <v>543</v>
      </c>
      <c r="B8" s="17" t="n">
        <v>400</v>
      </c>
      <c r="C8" s="17" t="n">
        <v>208.5</v>
      </c>
      <c r="D8" s="7" t="n">
        <f aca="false">B8*C8</f>
        <v>83400</v>
      </c>
      <c r="E8" s="17" t="n">
        <v>6200</v>
      </c>
      <c r="F8" s="17" t="n">
        <v>3150</v>
      </c>
      <c r="G8" s="7" t="n">
        <f aca="false">E8-F8</f>
        <v>3050</v>
      </c>
      <c r="H8" s="7" t="n">
        <f aca="false">D8+G8</f>
        <v>86450</v>
      </c>
      <c r="I8" s="17" t="n">
        <v>21700</v>
      </c>
      <c r="J8" s="17" t="n">
        <v>1410.5</v>
      </c>
      <c r="K8" s="17" t="n">
        <v>1180</v>
      </c>
      <c r="L8" s="17" t="n">
        <v>1475</v>
      </c>
      <c r="M8" s="31" t="n">
        <f aca="false">H8/I8</f>
        <v>3.98387096774194</v>
      </c>
      <c r="N8" s="31" t="n">
        <f aca="false">H8/J8</f>
        <v>61.2903225806452</v>
      </c>
      <c r="O8" s="31" t="n">
        <f aca="false">H8/K8</f>
        <v>73.2627118644068</v>
      </c>
      <c r="P8" s="31" t="n">
        <f aca="false">D8/L8</f>
        <v>56.5423728813559</v>
      </c>
      <c r="Q8" s="16" t="n">
        <v>0</v>
      </c>
      <c r="S8" s="40" t="str">
        <f aca="false">IF($Q8=1,M8,"")</f>
        <v/>
      </c>
      <c r="T8" s="40" t="str">
        <f aca="false">IF($Q8=1,N8,"")</f>
        <v/>
      </c>
      <c r="U8" s="40" t="str">
        <f aca="false">IF($Q8=1,O8,"")</f>
        <v/>
      </c>
      <c r="V8" s="40" t="str">
        <f aca="false">IF($Q8=1,P8,"")</f>
        <v/>
      </c>
    </row>
    <row r="9" customFormat="false" ht="15" hidden="false" customHeight="false" outlineLevel="0" collapsed="false">
      <c r="A9" s="13" t="s">
        <v>544</v>
      </c>
      <c r="B9" s="20" t="n">
        <f aca="false">'Assumptions &amp; Drivers'!B5</f>
        <v>3837</v>
      </c>
      <c r="C9" s="18" t="n">
        <f aca="false">'Assumptions &amp; Drivers'!B9</f>
        <v>137.565</v>
      </c>
      <c r="D9" s="7" t="n">
        <f aca="false">B9*C9</f>
        <v>527836.905</v>
      </c>
      <c r="L9" s="7" t="n">
        <f aca="false">'Income Statement'!C32</f>
        <v>16083.99</v>
      </c>
      <c r="P9" s="31" t="n">
        <f aca="false">D9/L9</f>
        <v>32.8175350146326</v>
      </c>
    </row>
    <row r="10" customFormat="false" ht="15" hidden="false" customHeight="false" outlineLevel="0" collapsed="false">
      <c r="A10" s="2" t="s">
        <v>545</v>
      </c>
    </row>
    <row r="12" customFormat="false" ht="15" hidden="false" customHeight="false" outlineLevel="0" collapsed="false">
      <c r="A12" s="13" t="s">
        <v>546</v>
      </c>
      <c r="M12" s="31" t="n">
        <f aca="false">MEDIAN(S5:S8)</f>
        <v>1.175</v>
      </c>
      <c r="N12" s="31" t="n">
        <f aca="false">MEDIAN(T5:T8)</f>
        <v>11.9897959183673</v>
      </c>
      <c r="O12" s="31" t="n">
        <f aca="false">MEDIAN(U5:U8)</f>
        <v>16.1015460295151</v>
      </c>
      <c r="P12" s="31" t="n">
        <f aca="false">MEDIAN(V5:V8)</f>
        <v>29.6532846715328</v>
      </c>
    </row>
    <row r="13" customFormat="false" ht="15" hidden="false" customHeight="false" outlineLevel="0" collapsed="false">
      <c r="A13" s="13" t="s">
        <v>547</v>
      </c>
      <c r="M13" s="31" t="n">
        <f aca="false">MIN(S5:S8)</f>
        <v>1.03134615384615</v>
      </c>
      <c r="N13" s="31" t="n">
        <f aca="false">MIN(T5:T8)</f>
        <v>10.1112368024133</v>
      </c>
      <c r="O13" s="31" t="n">
        <f aca="false">MIN(U5:U8)</f>
        <v>13.241975308642</v>
      </c>
      <c r="P13" s="31" t="n">
        <f aca="false">MIN(V5:V8)</f>
        <v>24.4222222222222</v>
      </c>
    </row>
    <row r="14" customFormat="false" ht="15" hidden="false" customHeight="false" outlineLevel="0" collapsed="false">
      <c r="A14" s="13" t="s">
        <v>548</v>
      </c>
      <c r="M14" s="31" t="n">
        <f aca="false">MAX(S5:S8)</f>
        <v>1.27404522613065</v>
      </c>
      <c r="N14" s="31" t="n">
        <f aca="false">MAX(T5:T8)</f>
        <v>14.988767366243</v>
      </c>
      <c r="O14" s="31" t="n">
        <f aca="false">MAX(U5:U8)</f>
        <v>19.7303501945525</v>
      </c>
      <c r="P14" s="31" t="n">
        <f aca="false">MAX(V5:V8)</f>
        <v>39.0241071428571</v>
      </c>
    </row>
    <row r="15" customFormat="false" ht="15" hidden="false" customHeight="false" outlineLevel="0" collapsed="false">
      <c r="A15" s="13" t="s">
        <v>549</v>
      </c>
      <c r="M15" s="31" t="n">
        <f aca="false">AVERAGE(S5:S8)</f>
        <v>1.16013045999227</v>
      </c>
      <c r="N15" s="31" t="n">
        <f aca="false">AVERAGE(T5:T8)</f>
        <v>12.3632666956745</v>
      </c>
      <c r="O15" s="31" t="n">
        <f aca="false">AVERAGE(U5:U8)</f>
        <v>16.3579571775699</v>
      </c>
      <c r="P15" s="31" t="n">
        <f aca="false">AVERAGE(V5:V8)</f>
        <v>31.0332046788707</v>
      </c>
    </row>
    <row r="17" customFormat="false" ht="15" hidden="false" customHeight="false" outlineLevel="0" collapsed="false">
      <c r="A17" s="12" t="s">
        <v>550</v>
      </c>
    </row>
    <row r="18" customFormat="false" ht="23.85" hidden="false" customHeight="false" outlineLevel="0" collapsed="false">
      <c r="A18" s="3" t="s">
        <v>551</v>
      </c>
      <c r="B18" s="4" t="s">
        <v>552</v>
      </c>
      <c r="C18" s="4" t="s">
        <v>553</v>
      </c>
      <c r="D18" s="4" t="s">
        <v>554</v>
      </c>
      <c r="E18" s="4" t="s">
        <v>555</v>
      </c>
      <c r="F18" s="4" t="s">
        <v>556</v>
      </c>
      <c r="G18" s="4" t="s">
        <v>557</v>
      </c>
      <c r="H18" s="4" t="s">
        <v>558</v>
      </c>
    </row>
    <row r="19" customFormat="false" ht="15" hidden="false" customHeight="false" outlineLevel="0" collapsed="false">
      <c r="A19" s="5" t="s">
        <v>559</v>
      </c>
      <c r="B19" s="7" t="n">
        <f aca="false">'Segments &amp; Core'!C46</f>
        <v>25119.09</v>
      </c>
      <c r="C19" s="31" t="n">
        <f aca="false">N13</f>
        <v>10.1112368024133</v>
      </c>
      <c r="D19" s="31" t="n">
        <f aca="false">N12</f>
        <v>11.9897959183673</v>
      </c>
      <c r="E19" s="31" t="n">
        <f aca="false">N14</f>
        <v>14.988767366243</v>
      </c>
      <c r="F19" s="10" t="n">
        <f aca="false">($B19*C19+'DCF Valuation'!$C$16)/'DCF Valuation'!$C$10</f>
        <v>1812.59789373119</v>
      </c>
      <c r="G19" s="10" t="n">
        <f aca="false">($B19*D19+'DCF Valuation'!$C$16)/'DCF Valuation'!$C$10</f>
        <v>2155.61897833825</v>
      </c>
      <c r="H19" s="10" t="n">
        <f aca="false">($B19*E19+'DCF Valuation'!$C$16)/'DCF Valuation'!$C$10</f>
        <v>2703.22508240991</v>
      </c>
    </row>
    <row r="20" customFormat="false" ht="15" hidden="false" customHeight="false" outlineLevel="0" collapsed="false">
      <c r="A20" s="5" t="s">
        <v>560</v>
      </c>
      <c r="B20" s="7" t="n">
        <f aca="false">'Segments &amp; Core'!C48</f>
        <v>20754.34</v>
      </c>
      <c r="C20" s="31" t="n">
        <f aca="false">O13</f>
        <v>13.241975308642</v>
      </c>
      <c r="D20" s="31" t="n">
        <f aca="false">O12</f>
        <v>16.1015460295151</v>
      </c>
      <c r="E20" s="31" t="n">
        <f aca="false">O14</f>
        <v>19.7303501945525</v>
      </c>
      <c r="F20" s="10" t="n">
        <f aca="false">($B20*C20+'DCF Valuation'!$C$16)/'DCF Valuation'!$C$10</f>
        <v>1964.11456276786</v>
      </c>
      <c r="G20" s="10" t="n">
        <f aca="false">($B20*D20+'DCF Valuation'!$C$16)/'DCF Valuation'!$C$10</f>
        <v>2395.53609437143</v>
      </c>
      <c r="H20" s="10" t="n">
        <f aca="false">($B20*E20+'DCF Valuation'!$C$16)/'DCF Valuation'!$C$10</f>
        <v>2943.01136376846</v>
      </c>
    </row>
    <row r="21" customFormat="false" ht="15" hidden="false" customHeight="false" outlineLevel="0" collapsed="false">
      <c r="A21" s="5" t="s">
        <v>561</v>
      </c>
      <c r="B21" s="7" t="n">
        <f aca="false">'Segments &amp; Core'!C45</f>
        <v>268590.93</v>
      </c>
      <c r="C21" s="31" t="n">
        <f aca="false">M13</f>
        <v>1.03134615384615</v>
      </c>
      <c r="D21" s="31" t="n">
        <f aca="false">M12</f>
        <v>1.175</v>
      </c>
      <c r="E21" s="31" t="n">
        <f aca="false">M14</f>
        <v>1.27404522613065</v>
      </c>
      <c r="F21" s="10" t="n">
        <f aca="false">($B21*C21+'DCF Valuation'!$C$16)/'DCF Valuation'!$C$10</f>
        <v>1979.97444563269</v>
      </c>
      <c r="G21" s="10" t="n">
        <f aca="false">($B21*D21+'DCF Valuation'!$C$16)/'DCF Valuation'!$C$10</f>
        <v>2260.45363828009</v>
      </c>
      <c r="H21" s="10" t="n">
        <f aca="false">($B21*E21+'DCF Valuation'!$C$16)/'DCF Valuation'!$C$10</f>
        <v>2453.83603495433</v>
      </c>
    </row>
    <row r="22" customFormat="false" ht="15" hidden="false" customHeight="false" outlineLevel="0" collapsed="false">
      <c r="A22" s="5" t="s">
        <v>562</v>
      </c>
      <c r="B22" s="20" t="n">
        <f aca="false">'Income Statement'!C34</f>
        <v>116.919201831861</v>
      </c>
      <c r="C22" s="31" t="n">
        <f aca="false">P13</f>
        <v>24.4222222222222</v>
      </c>
      <c r="D22" s="31" t="n">
        <f aca="false">P12</f>
        <v>29.6532846715328</v>
      </c>
      <c r="E22" s="31" t="n">
        <f aca="false">P14</f>
        <v>39.0241071428571</v>
      </c>
      <c r="F22" s="10" t="n">
        <f aca="false">$B22*C22</f>
        <v>2855.42672918256</v>
      </c>
      <c r="G22" s="10" t="n">
        <f aca="false">$B22*D22</f>
        <v>3467.03837548858</v>
      </c>
      <c r="H22" s="10" t="n">
        <f aca="false">$B22*E22</f>
        <v>4562.66745934388</v>
      </c>
    </row>
    <row r="24" customFormat="false" ht="15" hidden="false" customHeight="false" outlineLevel="0" collapsed="false">
      <c r="A24" s="2" t="s">
        <v>563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3213A"/>
    <pageSetUpPr fitToPage="false"/>
  </sheetPr>
  <dimension ref="A1:H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4" min="2" style="0" width="12"/>
    <col collapsed="false" customWidth="true" hidden="false" outlineLevel="0" max="5" min="5" style="0" width="14"/>
    <col collapsed="false" customWidth="true" hidden="false" outlineLevel="0" max="6" min="6" style="0" width="12"/>
    <col collapsed="false" customWidth="true" hidden="false" outlineLevel="0" max="7" min="7" style="0" width="44"/>
    <col collapsed="false" customWidth="true" hidden="false" outlineLevel="0" max="8" min="8" style="0" width="22"/>
  </cols>
  <sheetData>
    <row r="1" customFormat="false" ht="17.35" hidden="false" customHeight="false" outlineLevel="0" collapsed="false">
      <c r="A1" s="1" t="s">
        <v>564</v>
      </c>
    </row>
    <row r="2" customFormat="false" ht="15" hidden="false" customHeight="false" outlineLevel="0" collapsed="false">
      <c r="A2" s="2" t="s">
        <v>565</v>
      </c>
    </row>
    <row r="3" customFormat="false" ht="15" hidden="false" customHeight="false" outlineLevel="0" collapsed="false">
      <c r="A3" s="13" t="s">
        <v>510</v>
      </c>
      <c r="B3" s="38" t="n">
        <f aca="false">'Assumptions &amp; Drivers'!B5</f>
        <v>3837</v>
      </c>
    </row>
    <row r="5" customFormat="false" ht="23.85" hidden="false" customHeight="false" outlineLevel="0" collapsed="false">
      <c r="A5" s="3" t="s">
        <v>551</v>
      </c>
      <c r="B5" s="4" t="s">
        <v>17</v>
      </c>
      <c r="C5" s="4" t="s">
        <v>18</v>
      </c>
      <c r="D5" s="4" t="s">
        <v>19</v>
      </c>
      <c r="E5" s="4" t="s">
        <v>566</v>
      </c>
      <c r="F5" s="4" t="s">
        <v>567</v>
      </c>
      <c r="G5" s="4" t="s">
        <v>568</v>
      </c>
      <c r="H5" s="4" t="s">
        <v>569</v>
      </c>
    </row>
    <row r="6" customFormat="false" ht="15" hidden="false" customHeight="false" outlineLevel="0" collapsed="false">
      <c r="A6" s="5" t="s">
        <v>23</v>
      </c>
      <c r="B6" s="10" t="n">
        <f aca="false">'Assumptions &amp; Drivers'!B11</f>
        <v>3288.1</v>
      </c>
      <c r="C6" s="10" t="n">
        <f aca="false">'Assumptions &amp; Drivers'!B5</f>
        <v>3837</v>
      </c>
      <c r="D6" s="10" t="n">
        <f aca="false">'Assumptions &amp; Drivers'!B12</f>
        <v>4440</v>
      </c>
      <c r="E6" s="41" t="n">
        <f aca="false">B6</f>
        <v>3288.1</v>
      </c>
      <c r="F6" s="41" t="n">
        <f aca="false">D6-B6</f>
        <v>1151.9</v>
      </c>
      <c r="G6" s="2" t="s">
        <v>570</v>
      </c>
      <c r="H6" s="11" t="b">
        <f aca="false">AND(C6&gt;=B6,C6&lt;=D6)</f>
        <v>1</v>
      </c>
    </row>
    <row r="7" customFormat="false" ht="15" hidden="false" customHeight="false" outlineLevel="0" collapsed="false">
      <c r="A7" s="5" t="s">
        <v>571</v>
      </c>
      <c r="B7" s="10" t="n">
        <f aca="false">'DCF Valuation'!B11</f>
        <v>1138.06258007072</v>
      </c>
      <c r="C7" s="10" t="n">
        <f aca="false">'DCF Valuation'!C11</f>
        <v>1771.6874572139</v>
      </c>
      <c r="D7" s="10" t="n">
        <f aca="false">'DCF Valuation'!D11</f>
        <v>2443.53839596159</v>
      </c>
      <c r="E7" s="41" t="n">
        <f aca="false">B7</f>
        <v>1138.06258007072</v>
      </c>
      <c r="F7" s="41" t="n">
        <f aca="false">D7-B7</f>
        <v>1305.47581589087</v>
      </c>
      <c r="G7" s="2" t="s">
        <v>572</v>
      </c>
      <c r="H7" s="11" t="b">
        <f aca="false">AND(C7&gt;=B7,C7&lt;=D7)</f>
        <v>1</v>
      </c>
    </row>
    <row r="8" customFormat="false" ht="15" hidden="false" customHeight="false" outlineLevel="0" collapsed="false">
      <c r="A8" s="5" t="s">
        <v>573</v>
      </c>
      <c r="B8" s="10" t="n">
        <f aca="false">'DCF Valuation'!D26</f>
        <v>1338.55273891694</v>
      </c>
      <c r="C8" s="10" t="n">
        <f aca="false">'DCF Valuation'!C11</f>
        <v>1771.6874572139</v>
      </c>
      <c r="D8" s="10" t="n">
        <f aca="false">'DCF Valuation'!D23</f>
        <v>1996.23916682659</v>
      </c>
      <c r="E8" s="41" t="n">
        <f aca="false">B8</f>
        <v>1338.55273891694</v>
      </c>
      <c r="F8" s="41" t="n">
        <f aca="false">D8-B8</f>
        <v>657.686427909649</v>
      </c>
      <c r="G8" s="2" t="s">
        <v>574</v>
      </c>
      <c r="H8" s="11" t="b">
        <f aca="false">AND(C8&gt;=B8,C8&lt;=D8)</f>
        <v>1</v>
      </c>
    </row>
    <row r="9" customFormat="false" ht="15" hidden="false" customHeight="false" outlineLevel="0" collapsed="false">
      <c r="A9" s="5" t="s">
        <v>575</v>
      </c>
      <c r="B9" s="10" t="n">
        <f aca="false">'Comparable Valuation'!F19</f>
        <v>1812.59789373119</v>
      </c>
      <c r="C9" s="10" t="n">
        <f aca="false">'Comparable Valuation'!G19</f>
        <v>2155.61897833825</v>
      </c>
      <c r="D9" s="10" t="n">
        <f aca="false">'Comparable Valuation'!H19</f>
        <v>2703.22508240991</v>
      </c>
      <c r="E9" s="41" t="n">
        <f aca="false">B9</f>
        <v>1812.59789373119</v>
      </c>
      <c r="F9" s="41" t="n">
        <f aca="false">D9-B9</f>
        <v>890.627188678726</v>
      </c>
      <c r="G9" s="2" t="s">
        <v>576</v>
      </c>
      <c r="H9" s="11" t="b">
        <f aca="false">AND(C9&gt;=B9,C9&lt;=D9)</f>
        <v>1</v>
      </c>
    </row>
    <row r="10" customFormat="false" ht="15" hidden="false" customHeight="false" outlineLevel="0" collapsed="false">
      <c r="A10" s="5" t="s">
        <v>577</v>
      </c>
      <c r="B10" s="10" t="n">
        <f aca="false">'Comparable Valuation'!F21</f>
        <v>1979.97444563269</v>
      </c>
      <c r="C10" s="10" t="n">
        <f aca="false">'Comparable Valuation'!G21</f>
        <v>2260.45363828009</v>
      </c>
      <c r="D10" s="10" t="n">
        <f aca="false">'Comparable Valuation'!H21</f>
        <v>2453.83603495433</v>
      </c>
      <c r="E10" s="41" t="n">
        <f aca="false">B10</f>
        <v>1979.97444563269</v>
      </c>
      <c r="F10" s="41" t="n">
        <f aca="false">D10-B10</f>
        <v>473.861589321636</v>
      </c>
      <c r="G10" s="2" t="s">
        <v>576</v>
      </c>
      <c r="H10" s="11" t="b">
        <f aca="false">AND(C10&gt;=B10,C10&lt;=D10)</f>
        <v>1</v>
      </c>
    </row>
    <row r="11" customFormat="false" ht="15" hidden="false" customHeight="false" outlineLevel="0" collapsed="false">
      <c r="A11" s="5" t="s">
        <v>578</v>
      </c>
      <c r="B11" s="10" t="n">
        <f aca="false">'Comparable Valuation'!F22</f>
        <v>2855.42672918256</v>
      </c>
      <c r="C11" s="10" t="n">
        <f aca="false">'Comparable Valuation'!G22</f>
        <v>3467.03837548858</v>
      </c>
      <c r="D11" s="10" t="n">
        <f aca="false">'Comparable Valuation'!H22</f>
        <v>4562.66745934388</v>
      </c>
      <c r="E11" s="41" t="n">
        <f aca="false">B11</f>
        <v>2855.42672918256</v>
      </c>
      <c r="F11" s="41" t="n">
        <f aca="false">D11-B11</f>
        <v>1707.24073016132</v>
      </c>
      <c r="G11" s="2" t="s">
        <v>576</v>
      </c>
      <c r="H11" s="11" t="b">
        <f aca="false">AND(C11&gt;=B11,C11&lt;=D11)</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C7430"/>
    <pageSetUpPr fitToPage="false"/>
  </sheetPr>
  <dimension ref="A1:B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8"/>
    <col collapsed="false" customWidth="true" hidden="false" outlineLevel="0" max="2" min="2" style="0" width="100"/>
  </cols>
  <sheetData>
    <row r="1" customFormat="false" ht="17.35" hidden="false" customHeight="false" outlineLevel="0" collapsed="false">
      <c r="A1" s="1" t="s">
        <v>579</v>
      </c>
    </row>
    <row r="3" customFormat="false" ht="15" hidden="false" customHeight="false" outlineLevel="0" collapsed="false">
      <c r="A3" s="12" t="s">
        <v>580</v>
      </c>
    </row>
    <row r="4" customFormat="false" ht="23.85" hidden="false" customHeight="false" outlineLevel="0" collapsed="false">
      <c r="A4" s="42" t="s">
        <v>581</v>
      </c>
      <c r="B4" s="43" t="s">
        <v>582</v>
      </c>
    </row>
    <row r="5" customFormat="false" ht="15" hidden="false" customHeight="false" outlineLevel="0" collapsed="false">
      <c r="A5" s="42" t="s">
        <v>583</v>
      </c>
      <c r="B5" s="43" t="s">
        <v>584</v>
      </c>
    </row>
    <row r="6" customFormat="false" ht="15" hidden="false" customHeight="false" outlineLevel="0" collapsed="false">
      <c r="A6" s="42" t="s">
        <v>585</v>
      </c>
      <c r="B6" s="43" t="s">
        <v>586</v>
      </c>
    </row>
    <row r="7" customFormat="false" ht="15" hidden="false" customHeight="false" outlineLevel="0" collapsed="false">
      <c r="A7" s="42" t="s">
        <v>587</v>
      </c>
      <c r="B7" s="43" t="s">
        <v>588</v>
      </c>
    </row>
    <row r="8" customFormat="false" ht="23.85" hidden="false" customHeight="false" outlineLevel="0" collapsed="false">
      <c r="A8" s="42" t="s">
        <v>589</v>
      </c>
      <c r="B8" s="43" t="s">
        <v>590</v>
      </c>
    </row>
    <row r="9" customFormat="false" ht="15" hidden="false" customHeight="false" outlineLevel="0" collapsed="false">
      <c r="A9" s="42" t="s">
        <v>591</v>
      </c>
      <c r="B9" s="43" t="s">
        <v>592</v>
      </c>
    </row>
    <row r="10" customFormat="false" ht="15" hidden="false" customHeight="false" outlineLevel="0" collapsed="false">
      <c r="A10" s="42" t="s">
        <v>593</v>
      </c>
      <c r="B10" s="43" t="s">
        <v>594</v>
      </c>
    </row>
    <row r="11" customFormat="false" ht="15" hidden="false" customHeight="false" outlineLevel="0" collapsed="false">
      <c r="A11" s="12" t="s">
        <v>551</v>
      </c>
    </row>
    <row r="12" customFormat="false" ht="23.85" hidden="false" customHeight="false" outlineLevel="0" collapsed="false">
      <c r="A12" s="42" t="s">
        <v>595</v>
      </c>
      <c r="B12" s="43" t="s">
        <v>596</v>
      </c>
    </row>
    <row r="13" customFormat="false" ht="23.85" hidden="false" customHeight="false" outlineLevel="0" collapsed="false">
      <c r="A13" s="42" t="s">
        <v>597</v>
      </c>
      <c r="B13" s="43" t="s">
        <v>598</v>
      </c>
    </row>
    <row r="14" customFormat="false" ht="23.85" hidden="false" customHeight="false" outlineLevel="0" collapsed="false">
      <c r="A14" s="42" t="s">
        <v>480</v>
      </c>
      <c r="B14" s="43" t="s">
        <v>599</v>
      </c>
    </row>
    <row r="15" customFormat="false" ht="15" hidden="false" customHeight="false" outlineLevel="0" collapsed="false">
      <c r="A15" s="42" t="s">
        <v>600</v>
      </c>
      <c r="B15" s="43" t="s">
        <v>601</v>
      </c>
    </row>
    <row r="16" customFormat="false" ht="15" hidden="false" customHeight="false" outlineLevel="0" collapsed="false">
      <c r="A16" s="42" t="s">
        <v>602</v>
      </c>
      <c r="B16" s="43" t="s">
        <v>603</v>
      </c>
    </row>
    <row r="17" customFormat="false" ht="15" hidden="false" customHeight="false" outlineLevel="0" collapsed="false">
      <c r="A17" s="42" t="s">
        <v>79</v>
      </c>
      <c r="B17" s="43" t="s">
        <v>604</v>
      </c>
    </row>
    <row r="18" customFormat="false" ht="15" hidden="false" customHeight="false" outlineLevel="0" collapsed="false">
      <c r="A18" s="12" t="s">
        <v>605</v>
      </c>
    </row>
    <row r="19" customFormat="false" ht="23.85" hidden="false" customHeight="false" outlineLevel="0" collapsed="false">
      <c r="A19" s="42" t="s">
        <v>606</v>
      </c>
      <c r="B19" s="43" t="s">
        <v>607</v>
      </c>
    </row>
    <row r="20" customFormat="false" ht="23.85" hidden="false" customHeight="false" outlineLevel="0" collapsed="false">
      <c r="A20" s="42" t="s">
        <v>608</v>
      </c>
      <c r="B20" s="43" t="s">
        <v>609</v>
      </c>
    </row>
    <row r="21" customFormat="false" ht="23.85" hidden="false" customHeight="false" outlineLevel="0" collapsed="false">
      <c r="A21" s="42" t="s">
        <v>610</v>
      </c>
      <c r="B21" s="43" t="s">
        <v>611</v>
      </c>
    </row>
    <row r="22" customFormat="false" ht="15" hidden="false" customHeight="false" outlineLevel="0" collapsed="false">
      <c r="A22" s="42" t="s">
        <v>612</v>
      </c>
      <c r="B22" s="43" t="s">
        <v>613</v>
      </c>
    </row>
    <row r="23" customFormat="false" ht="15" hidden="false" customHeight="false" outlineLevel="0" collapsed="false">
      <c r="A23" s="42" t="s">
        <v>614</v>
      </c>
      <c r="B23" s="43" t="s">
        <v>615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2026-10-29T22:52:34Z</dcterms:created>
  <dc:creator>openpyxl</dc:creator>
  <dc:description/>
  <dc:language>en-US</dc:language>
  <cp:lastModifiedBy/>
  <dcterms:modified xsi:type="dcterms:W3CDTF">2026-10-29T22:52:35Z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