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Summary" sheetId="1" state="visible" r:id="rId3"/>
    <sheet name="Assumptions &amp; Drivers" sheetId="2" state="visible" r:id="rId4"/>
    <sheet name="Income Statement" sheetId="3" state="visible" r:id="rId5"/>
    <sheet name="Balance Sheet" sheetId="4" state="visible" r:id="rId6"/>
    <sheet name="Cash Flow Statement" sheetId="5" state="visible" r:id="rId7"/>
    <sheet name="WC &amp; PPE Schedule" sheetId="6" state="visible" r:id="rId8"/>
    <sheet name="Common-size &amp; Trend" sheetId="7" state="visible" r:id="rId9"/>
    <sheet name="Ratio Analysis" sheetId="8" state="visible" r:id="rId10"/>
    <sheet name="Beta Calculation" sheetId="9" state="visible" r:id="rId11"/>
    <sheet name="Capital Structure &amp; WACC" sheetId="10" state="visible" r:id="rId12"/>
    <sheet name="DCF Valuation" sheetId="11" state="visible" r:id="rId13"/>
    <sheet name="Comparable Valuation" sheetId="12" state="visible" r:id="rId14"/>
    <sheet name="Financial Health Analysis" sheetId="13" state="visible" r:id="rId15"/>
    <sheet name="Football Fiel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<sst xmlns="http://schemas.openxmlformats.org/spreadsheetml/2006/main" count="649" uniqueCount="532">
  <si>
    <t xml:space="preserve">LARSEN &amp; TOUBRO LIMITED (L&amp;T)</t>
  </si>
  <si>
    <t xml:space="preserve">FINANCIAL STATEMENT ANALYSIS &amp; VALUATION (FSAV) MASTER MODEL</t>
  </si>
  <si>
    <t xml:space="preserve">1. EXECUTIVE SUMMARY &amp; METADATA</t>
  </si>
  <si>
    <t xml:space="preserve">Company Name</t>
  </si>
  <si>
    <t xml:space="preserve">Larsen &amp; Toubro Limited</t>
  </si>
  <si>
    <t xml:space="preserve">NSE Symbol</t>
  </si>
  <si>
    <t xml:space="preserve">LT</t>
  </si>
  <si>
    <t xml:space="preserve">BSE Code</t>
  </si>
  <si>
    <t xml:space="preserve">500510</t>
  </si>
  <si>
    <t xml:space="preserve">Sector / Industry</t>
  </si>
  <si>
    <t xml:space="preserve">Infrastructure, Heavy Engineering &amp; Technology Services</t>
  </si>
  <si>
    <t xml:space="preserve">Current Share Price (Rs.)</t>
  </si>
  <si>
    <t xml:space="preserve">Outstanding Shares (Cr)</t>
  </si>
  <si>
    <t xml:space="preserve">Market Capitalization (Rs. Cr)</t>
  </si>
  <si>
    <t xml:space="preserve">2. CAPITAL STRUCTURE SUMMARY (as at 31 Mar 2026)</t>
  </si>
  <si>
    <t xml:space="preserve">Component</t>
  </si>
  <si>
    <t xml:space="preserve">Amount (Rs. Cr)</t>
  </si>
  <si>
    <t xml:space="preserve">% of Total Capital</t>
  </si>
  <si>
    <t xml:space="preserve">Total Debt</t>
  </si>
  <si>
    <t xml:space="preserve">Total Equity</t>
  </si>
  <si>
    <t xml:space="preserve">Total Capital Employed</t>
  </si>
  <si>
    <t xml:space="preserve">3. VALUATION SUMMARY</t>
  </si>
  <si>
    <t xml:space="preserve">Methodology</t>
  </si>
  <si>
    <t xml:space="preserve">Implied Share Price (Rs.)</t>
  </si>
  <si>
    <t xml:space="preserve">Implied Upside / (Downside) %</t>
  </si>
  <si>
    <t xml:space="preserve">DCF Valuation (Base Case)</t>
  </si>
  <si>
    <t xml:space="preserve">Comparable Valuation (Median EV/EBITDA)</t>
  </si>
  <si>
    <t xml:space="preserve">4. WORKBOOK SITEMAP &amp; TAB INDEX</t>
  </si>
  <si>
    <t xml:space="preserve">Tab Name</t>
  </si>
  <si>
    <t xml:space="preserve">Description</t>
  </si>
  <si>
    <t xml:space="preserve">Cover &amp; Summary</t>
  </si>
  <si>
    <t xml:space="preserve">Executive summary, company metadata, capital structure, and sitemap</t>
  </si>
  <si>
    <t xml:space="preserve">Assumptions &amp; Drivers</t>
  </si>
  <si>
    <t xml:space="preserve">Master model drivers: growth rates, operating costs %, WC days, CapEx %, WACC, and DCF parameters</t>
  </si>
  <si>
    <t xml:space="preserve">Income Statement</t>
  </si>
  <si>
    <t xml:space="preserve">10-Year Income Statement (FY22-FY26 Historical + FY27F-FY31F Forecast)</t>
  </si>
  <si>
    <t xml:space="preserve">Balance Sheet</t>
  </si>
  <si>
    <t xml:space="preserve">10-Year Balance Sheet (FY22-FY26 Historical + FY27F-FY31F Forecast)</t>
  </si>
  <si>
    <t xml:space="preserve">Cash Flow Statement</t>
  </si>
  <si>
    <t xml:space="preserve">10-Year Cash Flow Statement (FY22-FY26 Historical + FY27F-FY31F Forecast)</t>
  </si>
  <si>
    <t xml:space="preserve">WC &amp; PPE Schedule</t>
  </si>
  <si>
    <t xml:space="preserve">Working Capital Days, Trade Receivables/Inventories/Payables schedule, and PPE/CapEx schedule</t>
  </si>
  <si>
    <t xml:space="preserve">Common-size &amp; Trend</t>
  </si>
  <si>
    <t xml:space="preserve">Common-size Income Statement (% Rev), Balance Sheet (% Assets), and YoY Trend %</t>
  </si>
  <si>
    <t xml:space="preserve">Ratio Analysis</t>
  </si>
  <si>
    <t xml:space="preserve">Liquidity, Profitability, Efficiency, Solvency, and Market Ratios across 5 historical years</t>
  </si>
  <si>
    <t xml:space="preserve">Beta Calculation</t>
  </si>
  <si>
    <t xml:space="preserve">Weekly returns regression, stock price beta, and Blume adjustment relative to NIFTY 50</t>
  </si>
  <si>
    <t xml:space="preserve">Capital Structure &amp; WACC</t>
  </si>
  <si>
    <t xml:space="preserve">CAPM Cost of Equity, Cost of Debt, Capital Weights, and WACC schedule</t>
  </si>
  <si>
    <t xml:space="preserve">DCF Valuation</t>
  </si>
  <si>
    <t xml:space="preserve">FCFF projections, Present Value, Terminal Value, Enterprise Value, Equity Value, and Intrinsic Value</t>
  </si>
  <si>
    <t xml:space="preserve">Comparable Valuation</t>
  </si>
  <si>
    <t xml:space="preserve">Trading Multiples Relative Valuation (EV/EBITDA, EV/EBIT, P/E, EV/Revenue) for Peers</t>
  </si>
  <si>
    <t xml:space="preserve">Financial Health Analysis</t>
  </si>
  <si>
    <t xml:space="preserve">Altman Z-Score Predictability Model and DuPont 3-Stage ROE Analysis</t>
  </si>
  <si>
    <t xml:space="preserve">Football Field</t>
  </si>
  <si>
    <t xml:space="preserve">Valuation Summary Field comparing DCF, Comps, and 52-Week Price Range</t>
  </si>
  <si>
    <t xml:space="preserve">ASSUMPTIONS &amp; DRIVERS</t>
  </si>
  <si>
    <t xml:space="preserve">Parameter</t>
  </si>
  <si>
    <t xml:space="preserve">Value</t>
  </si>
  <si>
    <t xml:space="preserve">Rationale &amp; Explanation</t>
  </si>
  <si>
    <t xml:space="preserve">A. GROWTH ASSUMPTIONS</t>
  </si>
  <si>
    <t xml:space="preserve">Revenue Growth - Base Case</t>
  </si>
  <si>
    <t xml:space="preserve">Based on L&amp;T current record order book of Rs. 4.75+ Lakh Cr &amp; 5-Yr historical CAGR (~16.2%)</t>
  </si>
  <si>
    <t xml:space="preserve">Revenue Growth - Best Case</t>
  </si>
  <si>
    <t xml:space="preserve">Assumes accelerated execution across domestic mega-infra, Middle East hydrocarbon EPC &amp; green energy</t>
  </si>
  <si>
    <t xml:space="preserve">Revenue Growth - Worst Case</t>
  </si>
  <si>
    <t xml:space="preserve">Considers supply chain disruptions, geopolitical headwinds, and delayed client milestone billings</t>
  </si>
  <si>
    <t xml:space="preserve">B. OPERATING COST ASSUMPTIONS (% of Revenue)</t>
  </si>
  <si>
    <t xml:space="preserve">Operating &amp; Direct Expenses %</t>
  </si>
  <si>
    <t xml:space="preserve">Raw material, subcontracting, and construction costs modeled at realistic 3-year historical average (~53.5%)</t>
  </si>
  <si>
    <t xml:space="preserve">Employee Benefit Expenses %</t>
  </si>
  <si>
    <t xml:space="preserve">Employee costs modeled at historical average (~18.0% of revenue) reflecting engineering &amp; IT staff</t>
  </si>
  <si>
    <t xml:space="preserve">Other Expenses %</t>
  </si>
  <si>
    <t xml:space="preserve">Other corporate &amp; administrative expenses forecast at 4.0% of revenue in line with operational efficiencies</t>
  </si>
  <si>
    <t xml:space="preserve">Other Income (% of Revenue)</t>
  </si>
  <si>
    <t xml:space="preserve">Other non-operating income assumed at historical average of ~2.0% of operational revenue</t>
  </si>
  <si>
    <t xml:space="preserve">Effective Tax Rate</t>
  </si>
  <si>
    <t xml:space="preserve">Effective corporate income tax rate modeled at 25.0%</t>
  </si>
  <si>
    <t xml:space="preserve">Marginal Tax Rate</t>
  </si>
  <si>
    <t xml:space="preserve">Standard Indian corporate statutory tax rate of 25.17% (22% + 10% surcharge + 4% cess)</t>
  </si>
  <si>
    <t xml:space="preserve">C. WORKING CAPITAL DAYS</t>
  </si>
  <si>
    <t xml:space="preserve">Receivable Days</t>
  </si>
  <si>
    <t xml:space="preserve">Based on 5-year historical average trade receivable days (~77 days)</t>
  </si>
  <si>
    <t xml:space="preserve">Inventory Days</t>
  </si>
  <si>
    <t xml:space="preserve">Reflects inventory holding days for construction materials and spares (~12 days)</t>
  </si>
  <si>
    <t xml:space="preserve">Payable Days</t>
  </si>
  <si>
    <t xml:space="preserve">Based on historical vendor &amp; subcontractor payable settlement cycle (~86 days)</t>
  </si>
  <si>
    <t xml:space="preserve">D. CAPEX &amp; DEPRECIATION</t>
  </si>
  <si>
    <t xml:space="preserve">Capex (% of Revenue)</t>
  </si>
  <si>
    <t xml:space="preserve">Capital expenditure projected at 4.5% of annual revenue supporting green hydrogen, data centers &amp; machinery renewal</t>
  </si>
  <si>
    <t xml:space="preserve">Depreciation Rate (% of Opening Net PPE)</t>
  </si>
  <si>
    <t xml:space="preserve">Depreciation rate on opening net fixed assets modeled at 28.0% based on Ind AS useful asset lives</t>
  </si>
  <si>
    <t xml:space="preserve">E. CAPITAL STRUCTURE &amp; DEBT</t>
  </si>
  <si>
    <t xml:space="preserve">Target Debt Weight</t>
  </si>
  <si>
    <t xml:space="preserve">Long-term target debt capital weight set at 30.0%</t>
  </si>
  <si>
    <t xml:space="preserve">Target Equity Weight</t>
  </si>
  <si>
    <t xml:space="preserve">Target equity capital weight set at 70.0%</t>
  </si>
  <si>
    <t xml:space="preserve">Borrowing Growth Rate (% per year)</t>
  </si>
  <si>
    <t xml:space="preserve">Annual expansion of credit facilities and project debt (8.0% p.a.) to fund order book expansion</t>
  </si>
  <si>
    <t xml:space="preserve">Pre-Tax Cost of Debt</t>
  </si>
  <si>
    <t xml:space="preserve">Weighted average pre-tax cost of borrowing estimated at 7.80% based on existing bond coupon rates</t>
  </si>
  <si>
    <t xml:space="preserve">F. WACC PARAMETERS</t>
  </si>
  <si>
    <t xml:space="preserve">Risk-Free Rate (Rf)</t>
  </si>
  <si>
    <t xml:space="preserve">Based on current yield of 10-Year Government of India Benchmark Bond (~7.10%)</t>
  </si>
  <si>
    <t xml:space="preserve">Equity Risk Premium (ERP)</t>
  </si>
  <si>
    <t xml:space="preserve">Standard equity risk premium for Indian equity market (6.00%)</t>
  </si>
  <si>
    <t xml:space="preserve">G. DCF PARAMETERS</t>
  </si>
  <si>
    <t xml:space="preserve">Terminal Growth Rate (g)</t>
  </si>
  <si>
    <t xml:space="preserve">Long-term terminal growth rate modeled at 5.00% matching long-term Indian GDP growth</t>
  </si>
  <si>
    <t xml:space="preserve">Dividend Payout Ratio</t>
  </si>
  <si>
    <t xml:space="preserve">Dividend payout assumed at 40.0% of PAT in line with L&amp;T capital return and dividend track record</t>
  </si>
  <si>
    <t xml:space="preserve">CONSOLIDATED INCOME STATEMENT (INR Crores)</t>
  </si>
  <si>
    <t xml:space="preserve">Particulars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</si>
  <si>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</si>
  <si>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</si>
  <si>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</si>
  <si>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</si>
  <si>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</si>
  <si>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FY27F</t>
  </si>
  <si>
    <t xml:space="preserve">FY28F</t>
  </si>
  <si>
    <t xml:space="preserve">FY29F</t>
  </si>
  <si>
    <t xml:space="preserve">FY30F</t>
  </si>
  <si>
    <t xml:space="preserve">FY31F</t>
  </si>
  <si>
    <t xml:space="preserve">INCOME</t>
  </si>
  <si>
    <t xml:space="preserve">Revenue from Operations</t>
  </si>
  <si>
    <t xml:space="preserve">Other Income</t>
  </si>
  <si>
    <t xml:space="preserve">Total Revenue</t>
  </si>
  <si>
    <t xml:space="preserve">EXPENSES</t>
  </si>
  <si>
    <t xml:space="preserve">Operating and Direct Expenses</t>
  </si>
  <si>
    <t xml:space="preserve">Employee Benefit Expenses</t>
  </si>
  <si>
    <t xml:space="preserve">Finance Costs</t>
  </si>
  <si>
    <t xml:space="preserve">Depreciation and Amortisation</t>
  </si>
  <si>
    <t xml:space="preserve">Other Expenses</t>
  </si>
  <si>
    <t xml:space="preserve">Total Expenses</t>
  </si>
  <si>
    <t xml:space="preserve">Profit Before Exceptional Items and Tax</t>
  </si>
  <si>
    <t xml:space="preserve">Exceptional Items</t>
  </si>
  <si>
    <t xml:space="preserve">Profit Before Tax</t>
  </si>
  <si>
    <t xml:space="preserve">Current Tax</t>
  </si>
  <si>
    <t xml:space="preserve">Deferred Tax</t>
  </si>
  <si>
    <t xml:space="preserve">Total Tax Expenses</t>
  </si>
  <si>
    <t xml:space="preserve">Profit After Tax (before MI)</t>
  </si>
  <si>
    <t xml:space="preserve">Minority Interest</t>
  </si>
  <si>
    <t xml:space="preserve">Consolidated PAT (attributable to owners)</t>
  </si>
  <si>
    <t xml:space="preserve">EBITDA (derived)</t>
  </si>
  <si>
    <t xml:space="preserve">EBIT (derived)</t>
  </si>
  <si>
    <t xml:space="preserve">Basic EPS (Rs.)</t>
  </si>
  <si>
    <t xml:space="preserve">Diluted EPS (Rs.)</t>
  </si>
  <si>
    <t xml:space="preserve">Equity Dividend (Cr)</t>
  </si>
  <si>
    <t xml:space="preserve">EBITDA Margin % (chart helper)</t>
  </si>
  <si>
    <t xml:space="preserve">CONSOLIDATED BALANCE SHEET (INR Crores)</t>
  </si>
  <si>
    <t xml:space="preserve">EQUITY &amp; LIABILITIES</t>
  </si>
  <si>
    <t xml:space="preserve">Equity Share Capital</t>
  </si>
  <si>
    <t xml:space="preserve">Total Share Capital (incl. preference)</t>
  </si>
  <si>
    <t xml:space="preserve">Reserves and Surplus</t>
  </si>
  <si>
    <t xml:space="preserve">Total Shareholders' Funds</t>
  </si>
  <si>
    <t xml:space="preserve">NON-CURRENT LIABILITIES</t>
  </si>
  <si>
    <t xml:space="preserve">Long Term Borrowings</t>
  </si>
  <si>
    <t xml:space="preserve">Deferred Tax Liabilities [Net]</t>
  </si>
  <si>
    <t xml:space="preserve">Other Long Term Liabilities</t>
  </si>
  <si>
    <t xml:space="preserve">Long Term Provisions</t>
  </si>
  <si>
    <t xml:space="preserve">Total Non-Current Liabilities</t>
  </si>
  <si>
    <t xml:space="preserve">CURRENT LIABILITIES</t>
  </si>
  <si>
    <t xml:space="preserve">Short Term Borrowings</t>
  </si>
  <si>
    <t xml:space="preserve">Trade Payables</t>
  </si>
  <si>
    <t xml:space="preserve">Other Current Liabilities</t>
  </si>
  <si>
    <t xml:space="preserve">Short Term Provisions</t>
  </si>
  <si>
    <t xml:space="preserve">Suspense</t>
  </si>
  <si>
    <t xml:space="preserve">Total Current Liabilities</t>
  </si>
  <si>
    <t xml:space="preserve">TOTAL EQUITY &amp; LIABILITIES</t>
  </si>
  <si>
    <t xml:space="preserve">ASSETS</t>
  </si>
  <si>
    <t xml:space="preserve">NON-CURRENT ASSETS</t>
  </si>
  <si>
    <t xml:space="preserve">Tangible Assets (Net)</t>
  </si>
  <si>
    <t xml:space="preserve">Intangible Assets</t>
  </si>
  <si>
    <t xml:space="preserve">Capital Work-In-Progress</t>
  </si>
  <si>
    <t xml:space="preserve">Total Fixed Assets</t>
  </si>
  <si>
    <t xml:space="preserve">Non-Current Investments</t>
  </si>
  <si>
    <t xml:space="preserve">Deferred Tax Assets [Net]</t>
  </si>
  <si>
    <t xml:space="preserve">Long Term Loans and Advances</t>
  </si>
  <si>
    <t xml:space="preserve">Other Non-Current Assets</t>
  </si>
  <si>
    <t xml:space="preserve">Total Non-Current Assets</t>
  </si>
  <si>
    <t xml:space="preserve">CURRENT ASSETS</t>
  </si>
  <si>
    <t xml:space="preserve">Current Investments</t>
  </si>
  <si>
    <t xml:space="preserve">Inventories</t>
  </si>
  <si>
    <t xml:space="preserve">Trade Receivables</t>
  </si>
  <si>
    <t xml:space="preserve">Cash and Cash Equivalents</t>
  </si>
  <si>
    <t xml:space="preserve">Short Term Loans and Advances</t>
  </si>
  <si>
    <t xml:space="preserve">Other Current Assets</t>
  </si>
  <si>
    <t xml:space="preserve">Miscellenous</t>
  </si>
  <si>
    <t xml:space="preserve">Total Current Assets</t>
  </si>
  <si>
    <t xml:space="preserve">TOTAL ASSETS</t>
  </si>
  <si>
    <t xml:space="preserve">ADDITIONAL METRICS</t>
  </si>
  <si>
    <t xml:space="preserve">Total Debt (LT + ST Borrowings)</t>
  </si>
  <si>
    <t xml:space="preserve">Total Cash (Cash + Current Investments)</t>
  </si>
  <si>
    <t xml:space="preserve">Net Debt</t>
  </si>
  <si>
    <t xml:space="preserve">Balance Check (Assets - Liab &amp; Equity)</t>
  </si>
  <si>
    <t xml:space="preserve">CONSOLIDATED CASH FLOW STATEMENT (INR Crores)</t>
  </si>
  <si>
    <t xml:space="preserve">A. CASH FLOW FROM OPERATING ACTIVITIES</t>
  </si>
  <si>
    <t xml:space="preserve">Profit Before Tax (from P&amp;L)</t>
  </si>
  <si>
    <t xml:space="preserve">Add: Depreciation &amp; Amortisation</t>
  </si>
  <si>
    <t xml:space="preserve">Less: Working Capital Changes (Net)</t>
  </si>
  <si>
    <t xml:space="preserve">Less: Operating Expansion (Loans &amp; Other Net Assets)</t>
  </si>
  <si>
    <t xml:space="preserve">Less: Income Taxes Paid</t>
  </si>
  <si>
    <t xml:space="preserve">Net Cash Flow from Operating Activities (CFO)</t>
  </si>
  <si>
    <t xml:space="preserve">B. CASH FLOW FROM INVESTING ACTIVITIES</t>
  </si>
  <si>
    <t xml:space="preserve">Capital Expenditure</t>
  </si>
  <si>
    <t xml:space="preserve">Net Cash Used in Investing Activities (CFI)</t>
  </si>
  <si>
    <t xml:space="preserve">C. CASH FLOW FROM FINANCING ACTIVITIES</t>
  </si>
  <si>
    <t xml:space="preserve">Net Change in Borrowings</t>
  </si>
  <si>
    <t xml:space="preserve">Dividend Paid</t>
  </si>
  <si>
    <t xml:space="preserve">Net Cash from Financing Activities (CFF)</t>
  </si>
  <si>
    <t xml:space="preserve">D. NET CHANGE IN CASH</t>
  </si>
  <si>
    <t xml:space="preserve">Net Increase / (Decrease) in Cash</t>
  </si>
  <si>
    <t xml:space="preserve">Cash at Beginning of Year</t>
  </si>
  <si>
    <t xml:space="preserve">Cash at End of Year</t>
  </si>
  <si>
    <t xml:space="preserve">Memo: Free Cash Flow to Firm (CFO - Capex)</t>
  </si>
  <si>
    <t xml:space="preserve">WORKING CAPITAL &amp; PPE SCHEDULE (INR Crores)</t>
  </si>
  <si>
    <t xml:space="preserve">WORKING CAPITAL SCHEDULE</t>
  </si>
  <si>
    <t xml:space="preserve">Net Working Capital (Rec + Inv - Pay)</t>
  </si>
  <si>
    <t xml:space="preserve">Change in Net Working Capital</t>
  </si>
  <si>
    <t xml:space="preserve">WORKING CAPITAL DAYS</t>
  </si>
  <si>
    <t xml:space="preserve">Receivable Days (365 x Rec / Rev)</t>
  </si>
  <si>
    <t xml:space="preserve">Inventory Days (365 x Inv / Rev)</t>
  </si>
  <si>
    <t xml:space="preserve">Payable Days (365 x Pay / Rev)</t>
  </si>
  <si>
    <t xml:space="preserve">Cash Conversion Cycle</t>
  </si>
  <si>
    <t xml:space="preserve">PPE SCHEDULE</t>
  </si>
  <si>
    <t xml:space="preserve">Opening Net PPE</t>
  </si>
  <si>
    <t xml:space="preserve">Add: Capital Expenditure (Capex)</t>
  </si>
  <si>
    <t xml:space="preserve">Less: Depreciation &amp; Amortisation</t>
  </si>
  <si>
    <t xml:space="preserve">Closing Net PPE</t>
  </si>
  <si>
    <t xml:space="preserve">Capex as % of Revenue</t>
  </si>
  <si>
    <t xml:space="preserve">Depreciation as % of Opening Net PPE</t>
  </si>
  <si>
    <t xml:space="preserve">COMMON-SIZE &amp; TREND ANALYSIS</t>
  </si>
  <si>
    <t xml:space="preserve">A. COMMON-SIZE INCOME STATEMENT (% of Revenue from Operations)</t>
  </si>
  <si>
    <t xml:space="preserve">Consolidated PAT</t>
  </si>
  <si>
    <t xml:space="preserve">B. COMMON-SIZE BALANCE SHEET (% of Total Assets)</t>
  </si>
  <si>
    <t xml:space="preserve">FINANCIAL RATIO ANALYSIS</t>
  </si>
  <si>
    <t xml:space="preserve">Ratio Name</t>
  </si>
  <si>
    <t xml:space="preserve">Formula Used</t>
  </si>
  <si>
    <t xml:space="preserve">Financial Interpretation &amp; Comments</t>
  </si>
  <si>
    <t xml:space="preserve">Current Ratio</t>
  </si>
  <si>
    <t xml:space="preserve">Current Assets / Current Liabilities</t>
  </si>
  <si>
    <t xml:space="preserve">Maintains a safe liquidity buffer (&gt;1.2x) across all 5 years, reflecting strong short-term debt servicing capability.</t>
  </si>
  <si>
    <t xml:space="preserve">Quick Ratio</t>
  </si>
  <si>
    <t xml:space="preserve">(Cash + Investments + Receivables) / Current Liabilities</t>
  </si>
  <si>
    <t xml:space="preserve">Quick assets comfortably cover short-term liabilities, demonstrating robust liquidity without relying on inventory liquidation.</t>
  </si>
  <si>
    <t xml:space="preserve">Gross Profit Margin</t>
  </si>
  <si>
    <t xml:space="preserve">(Revenue - Operating Expenses) / Revenue</t>
  </si>
  <si>
    <t xml:space="preserve">High gross margin reflecting engineering value-add and subcontracting cost controls.</t>
  </si>
  <si>
    <t xml:space="preserve">EBITDA Margin</t>
  </si>
  <si>
    <t xml:space="preserve">(EBITDA) / Revenue</t>
  </si>
  <si>
    <t xml:space="preserve">Expanding EBITDA margin reaching ~24.0% driven by strong project execution and scale benefits.</t>
  </si>
  <si>
    <t xml:space="preserve">Operating Profit (EBIT) Margin</t>
  </si>
  <si>
    <t xml:space="preserve">EBIT / Revenue</t>
  </si>
  <si>
    <t xml:space="preserve">EBIT margins expanded consistently despite raw material inflation.</t>
  </si>
  <si>
    <t xml:space="preserve">Net Profit Margin</t>
  </si>
  <si>
    <t xml:space="preserve">Net Profit / Revenue</t>
  </si>
  <si>
    <t xml:space="preserve">Net margin improved due to operating leverage and higher IT/financial services contribution.</t>
  </si>
  <si>
    <t xml:space="preserve">Return on Assets (ROA)</t>
  </si>
  <si>
    <t xml:space="preserve">Net Profit / Total Assets</t>
  </si>
  <si>
    <t xml:space="preserve">ROA steadily increased showing efficient asset utilization across EPC and services.</t>
  </si>
  <si>
    <t xml:space="preserve">Return on Equity (ROE)</t>
  </si>
  <si>
    <t xml:space="preserve">Net Profit / Total Equity</t>
  </si>
  <si>
    <t xml:space="preserve">ROE expanded driven by higher profitability and capital return programs.</t>
  </si>
  <si>
    <t xml:space="preserve">Return on Capital Employed (ROCE)</t>
  </si>
  <si>
    <t xml:space="preserve">EBIT / (Total Equity + Total Debt)</t>
  </si>
  <si>
    <t xml:space="preserve">ROCE improved, signaling strong return on long-term capital investments.</t>
  </si>
  <si>
    <t xml:space="preserve">Inventory Turnover</t>
  </si>
  <si>
    <t xml:space="preserve">Revenue / Inventories</t>
  </si>
  <si>
    <t xml:space="preserve">Inventory turnover maintained showcasing lean inventory management in large turnkey projects.</t>
  </si>
  <si>
    <t xml:space="preserve">Debtors Turnover</t>
  </si>
  <si>
    <t xml:space="preserve">Revenue / Trade Receivables</t>
  </si>
  <si>
    <t xml:space="preserve">Receivables turnover improved indicating faster milestone billings.</t>
  </si>
  <si>
    <t xml:space="preserve">Asset Turnover</t>
  </si>
  <si>
    <t xml:space="preserve">Revenue / Total Assets</t>
  </si>
  <si>
    <t xml:space="preserve">Asset turnover ratio typical for capital-intensive infrastructure conglomerates.</t>
  </si>
  <si>
    <t xml:space="preserve">Debt-to-Equity Ratio</t>
  </si>
  <si>
    <t xml:space="preserve">Total Debt / Total Equity</t>
  </si>
  <si>
    <t xml:space="preserve">Total D/E maintained comfortably, supported by cash generation and capital strength.</t>
  </si>
  <si>
    <t xml:space="preserve">Interest Coverage Ratio</t>
  </si>
  <si>
    <t xml:space="preserve">EBIT / Finance Costs</t>
  </si>
  <si>
    <t xml:space="preserve">Interest coverage expanded ensuring comfortable debt service capacity.</t>
  </si>
  <si>
    <t xml:space="preserve">Earnings Per Share (EPS)</t>
  </si>
  <si>
    <t xml:space="preserve">Net Profit / Shares</t>
  </si>
  <si>
    <t xml:space="preserve">Consolidated EPS surged from Rs. 60.45 in FY22 to Rs. 137.80 in FY26.</t>
  </si>
  <si>
    <t xml:space="preserve">Book Value per Share (BVPS)</t>
  </si>
  <si>
    <t xml:space="preserve">Total Equity / Shares</t>
  </si>
  <si>
    <t xml:space="preserve">BVPS grew consistently per share.</t>
  </si>
  <si>
    <t xml:space="preserve">BETA REGRESSION ANALYSIS (L&amp;T vs NIFTY 50)</t>
  </si>
  <si>
    <t xml:space="preserve">Weekly Return Data (Last 52 Weeks)</t>
  </si>
  <si>
    <t xml:space="preserve">Regression Output</t>
  </si>
  <si>
    <t xml:space="preserve">Rationale &amp; Methodology</t>
  </si>
  <si>
    <t xml:space="preserve">Date</t>
  </si>
  <si>
    <t xml:space="preserve">L&amp;T Close (INR)</t>
  </si>
  <si>
    <t xml:space="preserve">L&amp;T Weekly Return (%)</t>
  </si>
  <si>
    <t xml:space="preserve">Nifty Close (Points)</t>
  </si>
  <si>
    <t xml:space="preserve">Nifty Weekly Return (%)</t>
  </si>
  <si>
    <t xml:space="preserve">Metric</t>
  </si>
  <si>
    <t xml:space="preserve">Notes &amp; Explanations</t>
  </si>
  <si>
    <t xml:space="preserve">2025-04-04</t>
  </si>
  <si>
    <t xml:space="preserve">-</t>
  </si>
  <si>
    <t xml:space="preserve">Beta (SLOPE)</t>
  </si>
  <si>
    <t xml:space="preserve">Data Source: L&amp;T NSE equity weekly prices &amp; NIFTY 50 benchmark index from LT_Nifty_Merged_Historical_Data.xlsx</t>
  </si>
  <si>
    <t xml:space="preserve">2025-04-11</t>
  </si>
  <si>
    <t xml:space="preserve">Alpha (Intercept)</t>
  </si>
  <si>
    <t xml:space="preserve">Frequency: Weekly Friday closing prices to eliminate bid-ask noise and day-of-the-week effects.</t>
  </si>
  <si>
    <t xml:space="preserve">2025-04-18</t>
  </si>
  <si>
    <t xml:space="preserve">R-Squared (R²)</t>
  </si>
  <si>
    <t xml:space="preserve">Horizon: 52 weekly return pairs over the most recent 1-year trading window.</t>
  </si>
  <si>
    <t xml:space="preserve">2025-04-25</t>
  </si>
  <si>
    <t xml:space="preserve">Correlation (r)</t>
  </si>
  <si>
    <t xml:space="preserve">Return Formula: Rt = (Pt - Pt-1) / Pt-1 arithmetic simple returns.</t>
  </si>
  <si>
    <t xml:space="preserve">2025-05-02</t>
  </si>
  <si>
    <t xml:space="preserve">Observations (n)</t>
  </si>
  <si>
    <t xml:space="preserve">Blume Adjustment: Beta_adj = (1/3)*1.00 + (2/3)*Beta_raw.</t>
  </si>
  <si>
    <t xml:space="preserve">2025-05-09</t>
  </si>
  <si>
    <t xml:space="preserve">Avg L&amp;T Weekly Return</t>
  </si>
  <si>
    <t xml:space="preserve">Mean-reversion ensures forward-looking stability for CAPM WACC.</t>
  </si>
  <si>
    <t xml:space="preserve">2025-05-16</t>
  </si>
  <si>
    <t xml:space="preserve">Avg Nifty Weekly Return</t>
  </si>
  <si>
    <t xml:space="preserve">Target Company: Larsen &amp; Toubro Limited (NSE: LT).</t>
  </si>
  <si>
    <t xml:space="preserve">2025-05-23</t>
  </si>
  <si>
    <t xml:space="preserve">Std Dev - L&amp;T</t>
  </si>
  <si>
    <t xml:space="preserve">Benchmark Index: NIFTY 50 Index (^NSEI).</t>
  </si>
  <si>
    <t xml:space="preserve">2025-05-30</t>
  </si>
  <si>
    <t xml:space="preserve">Std Dev - Nifty</t>
  </si>
  <si>
    <t xml:space="preserve">Effective Beta feeds directly into Capital Structure &amp; WACC Tab.</t>
  </si>
  <si>
    <t xml:space="preserve">2025-06-06</t>
  </si>
  <si>
    <t xml:space="preserve">Raw Regression Beta</t>
  </si>
  <si>
    <t xml:space="preserve">2025-06-13</t>
  </si>
  <si>
    <t xml:space="preserve">Blume Adjusted Beta</t>
  </si>
  <si>
    <t xml:space="preserve">Formula: =1/3 + (2/3)*Raw_Beta</t>
  </si>
  <si>
    <t xml:space="preserve">2025-06-20</t>
  </si>
  <si>
    <t xml:space="preserve">Effective Beta Used</t>
  </si>
  <si>
    <t xml:space="preserve">Linked to Cost of Equity (CAPM)</t>
  </si>
  <si>
    <t xml:space="preserve">2025-06-27</t>
  </si>
  <si>
    <t xml:space="preserve">2025-07-04</t>
  </si>
  <si>
    <t xml:space="preserve">2025-07-11</t>
  </si>
  <si>
    <t xml:space="preserve">2025-07-18</t>
  </si>
  <si>
    <t xml:space="preserve">2025-07-25</t>
  </si>
  <si>
    <t xml:space="preserve">2025-08-01</t>
  </si>
  <si>
    <t xml:space="preserve">2025-08-08</t>
  </si>
  <si>
    <t xml:space="preserve">2025-08-15</t>
  </si>
  <si>
    <t xml:space="preserve">2025-08-22</t>
  </si>
  <si>
    <t xml:space="preserve">2025-08-29</t>
  </si>
  <si>
    <t xml:space="preserve">2025-09-05</t>
  </si>
  <si>
    <t xml:space="preserve">2025-09-12</t>
  </si>
  <si>
    <t xml:space="preserve">2025-09-19</t>
  </si>
  <si>
    <t xml:space="preserve">2025-09-26</t>
  </si>
  <si>
    <t xml:space="preserve">2025-10-03</t>
  </si>
  <si>
    <t xml:space="preserve">2025-10-10</t>
  </si>
  <si>
    <t xml:space="preserve">2025-10-17</t>
  </si>
  <si>
    <t xml:space="preserve">2025-10-24</t>
  </si>
  <si>
    <t xml:space="preserve">2025-10-31</t>
  </si>
  <si>
    <t xml:space="preserve">2025-11-07</t>
  </si>
  <si>
    <t xml:space="preserve">2025-11-14</t>
  </si>
  <si>
    <t xml:space="preserve">2025-11-21</t>
  </si>
  <si>
    <t xml:space="preserve">2025-11-28</t>
  </si>
  <si>
    <t xml:space="preserve">2025-12-05</t>
  </si>
  <si>
    <t xml:space="preserve">2025-12-12</t>
  </si>
  <si>
    <t xml:space="preserve">2025-12-19</t>
  </si>
  <si>
    <t xml:space="preserve">2025-12-26</t>
  </si>
  <si>
    <t xml:space="preserve">2026-01-02</t>
  </si>
  <si>
    <t xml:space="preserve">2026-01-09</t>
  </si>
  <si>
    <t xml:space="preserve">2026-01-16</t>
  </si>
  <si>
    <t xml:space="preserve">2026-01-23</t>
  </si>
  <si>
    <t xml:space="preserve">2026-01-30</t>
  </si>
  <si>
    <t xml:space="preserve">2026-02-06</t>
  </si>
  <si>
    <t xml:space="preserve">2026-02-13</t>
  </si>
  <si>
    <t xml:space="preserve">2026-02-20</t>
  </si>
  <si>
    <t xml:space="preserve">2026-02-27</t>
  </si>
  <si>
    <t xml:space="preserve">2026-03-06</t>
  </si>
  <si>
    <t xml:space="preserve">2026-03-13</t>
  </si>
  <si>
    <t xml:space="preserve">2026-03-20</t>
  </si>
  <si>
    <t xml:space="preserve">2026-03-27</t>
  </si>
  <si>
    <t xml:space="preserve">2026-04-03</t>
  </si>
  <si>
    <t xml:space="preserve">CAPITAL STRUCTURE &amp; WEIGHTED AVERAGE COST OF CAPITAL (WACC)</t>
  </si>
  <si>
    <t xml:space="preserve">1. COST OF EQUITY (CAPM MODEL)</t>
  </si>
  <si>
    <t xml:space="preserve">Source / Formula</t>
  </si>
  <si>
    <t xml:space="preserve">10-Year GOI Bond Yield</t>
  </si>
  <si>
    <t xml:space="preserve">Beta (Beta)</t>
  </si>
  <si>
    <t xml:space="preserve">Blume Adjusted Beta from Beta Calculation Tab</t>
  </si>
  <si>
    <t xml:space="preserve">India Market Risk Premium</t>
  </si>
  <si>
    <t xml:space="preserve">Cost of Equity (Ke)</t>
  </si>
  <si>
    <t xml:space="preserve">CAPM: Ke = Rf + Beta * ERP</t>
  </si>
  <si>
    <t xml:space="preserve">2. COST OF DEBT &amp; CAPITAL WEIGHTS</t>
  </si>
  <si>
    <t xml:space="preserve">Pre-Tax Cost of Debt (Kd)</t>
  </si>
  <si>
    <t xml:space="preserve">Weighted average pre-tax cost of borrowing</t>
  </si>
  <si>
    <t xml:space="preserve">Marginal Tax Rate (t)</t>
  </si>
  <si>
    <t xml:space="preserve">Corporate statutory tax rate</t>
  </si>
  <si>
    <t xml:space="preserve">After-Tax Cost of Debt [Kd*(1-t)]</t>
  </si>
  <si>
    <t xml:space="preserve">Kd * (1 - Tax Rate)</t>
  </si>
  <si>
    <t xml:space="preserve">Shares Outstanding * Market Price</t>
  </si>
  <si>
    <t xml:space="preserve">Total Debt (Rs. Cr)</t>
  </si>
  <si>
    <t xml:space="preserve">FY26 Total Borrowings</t>
  </si>
  <si>
    <t xml:space="preserve">Total Capitalization (Rs. Cr)</t>
  </si>
  <si>
    <t xml:space="preserve">Market Cap + Debt</t>
  </si>
  <si>
    <t xml:space="preserve">Weight of Equity (We)</t>
  </si>
  <si>
    <t xml:space="preserve">Market Cap / Total Capital</t>
  </si>
  <si>
    <t xml:space="preserve">Weight of Debt (Wd)</t>
  </si>
  <si>
    <t xml:space="preserve">Total Debt / Total Capital</t>
  </si>
  <si>
    <t xml:space="preserve">WEIGHTED AVERAGE COST OF CAPITAL (WACC)</t>
  </si>
  <si>
    <t xml:space="preserve">WACC = We*Ke + Wd*Kd*(1-t)</t>
  </si>
  <si>
    <t xml:space="preserve">DISCOUNTED CASH FLOW (DCF) VALUATION</t>
  </si>
  <si>
    <t xml:space="preserve">1. FREE CASH FLOW TO FIRM (FCFF) PROJECTION (INR Crores)</t>
  </si>
  <si>
    <t xml:space="preserve">EBIT</t>
  </si>
  <si>
    <t xml:space="preserve">Less: Tax on EBIT [EBIT * t]</t>
  </si>
  <si>
    <t xml:space="preserve">NOPAT [EBIT*(1-t)]</t>
  </si>
  <si>
    <t xml:space="preserve">Less: Capital Expenditure (Capex)</t>
  </si>
  <si>
    <t xml:space="preserve">Less: Change in Net Working Capital</t>
  </si>
  <si>
    <t xml:space="preserve">Free Cash Flow to Firm (FCFF)</t>
  </si>
  <si>
    <t xml:space="preserve">Discount Period (Years)</t>
  </si>
  <si>
    <t xml:space="preserve">Discount Factor [1 / (1 + WACC)^t]</t>
  </si>
  <si>
    <t xml:space="preserve">Present Value of FCFF</t>
  </si>
  <si>
    <t xml:space="preserve">2. VALUATION SUMMARY &amp; PER SHARE INTRINSIC VALUE (INR Crores)</t>
  </si>
  <si>
    <t xml:space="preserve">Chart Data — Waterfall Bridge (auto-calculated from Section 2 above; do not edit)</t>
  </si>
  <si>
    <t xml:space="preserve">Formula / Source</t>
  </si>
  <si>
    <t xml:space="preserve">Step</t>
  </si>
  <si>
    <t xml:space="preserve">Base (invisible)</t>
  </si>
  <si>
    <t xml:space="preserve">Rise</t>
  </si>
  <si>
    <t xml:space="preserve">Fall</t>
  </si>
  <si>
    <t xml:space="preserve">Cumulative PV of Explicit FCFF (FY27F-FY31F)</t>
  </si>
  <si>
    <t xml:space="preserve">Sum of PV of explicit FCFF</t>
  </si>
  <si>
    <t xml:space="preserve">Cumulative PV of FCFF (FY27F-FY31F)</t>
  </si>
  <si>
    <t xml:space="preserve">Terminal Value (Perpetuity Method)</t>
  </si>
  <si>
    <t xml:space="preserve">FCFF_5 * (1+g) / (WACC - g)</t>
  </si>
  <si>
    <t xml:space="preserve">PV of Terminal Value</t>
  </si>
  <si>
    <t xml:space="preserve">Present Value of Terminal Value</t>
  </si>
  <si>
    <t xml:space="preserve">Terminal Value discounted to PV</t>
  </si>
  <si>
    <t xml:space="preserve">Enterprise Value (EV)</t>
  </si>
  <si>
    <t xml:space="preserve">ENTERPRISE VALUE (EV)</t>
  </si>
  <si>
    <t xml:space="preserve">Cumulative PV of FCFF + PV of Terminal Value</t>
  </si>
  <si>
    <t xml:space="preserve">Less: Total Debt</t>
  </si>
  <si>
    <t xml:space="preserve">Less: Total Debt (FY26)</t>
  </si>
  <si>
    <t xml:space="preserve">Add: Cash &amp; Equivalents</t>
  </si>
  <si>
    <t xml:space="preserve">Add: Cash and Cash Equivalents (FY26)</t>
  </si>
  <si>
    <t xml:space="preserve">FY26 Cash &amp; Current Investments</t>
  </si>
  <si>
    <t xml:space="preserve">Equity Value</t>
  </si>
  <si>
    <t xml:space="preserve">EQUITY VALUE</t>
  </si>
  <si>
    <t xml:space="preserve">Enterprise Value - Debt + Cash</t>
  </si>
  <si>
    <t xml:space="preserve">Shares Outstanding (Crores)</t>
  </si>
  <si>
    <t xml:space="preserve">Shares Outstanding</t>
  </si>
  <si>
    <t xml:space="preserve">INTRINSIC VALUE PER SHARE (Rs.)</t>
  </si>
  <si>
    <t xml:space="preserve">Equity Value / Shares Outstanding</t>
  </si>
  <si>
    <t xml:space="preserve">Current Market Price (Rs.)</t>
  </si>
  <si>
    <t xml:space="preserve">Current Trading Share Price</t>
  </si>
  <si>
    <t xml:space="preserve">(Intrinsic Value - Market Price) / Market Price</t>
  </si>
  <si>
    <t xml:space="preserve">COMPARABLE VALUATION (FY26)</t>
  </si>
  <si>
    <t xml:space="preserve">1. PEER DATA &amp; MULTIPLES MATRIX</t>
  </si>
  <si>
    <t xml:space="preserve">Company</t>
  </si>
  <si>
    <t xml:space="preserve">Share Price (Rs.)</t>
  </si>
  <si>
    <t xml:space="preserve">Shares (Cr)</t>
  </si>
  <si>
    <t xml:space="preserve">Market Cap (Cr)</t>
  </si>
  <si>
    <t xml:space="preserve">Gross Debt (Cr)</t>
  </si>
  <si>
    <t xml:space="preserve">Cash (Cr)</t>
  </si>
  <si>
    <t xml:space="preserve">Net Debt (Cr)</t>
  </si>
  <si>
    <t xml:space="preserve">EV (Cr)</t>
  </si>
  <si>
    <t xml:space="preserve">Revenue (Cr)</t>
  </si>
  <si>
    <t xml:space="preserve">EBITDA (Cr)</t>
  </si>
  <si>
    <t xml:space="preserve">EBIT (Cr)</t>
  </si>
  <si>
    <t xml:space="preserve">PAT (Cr)</t>
  </si>
  <si>
    <t xml:space="preserve">EV/Revenue</t>
  </si>
  <si>
    <t xml:space="preserve">EV/EBITDA</t>
  </si>
  <si>
    <t xml:space="preserve">EV/EBIT</t>
  </si>
  <si>
    <t xml:space="preserve">P/E</t>
  </si>
  <si>
    <t xml:space="preserve">L&amp;T (Subject)</t>
  </si>
  <si>
    <t xml:space="preserve">Kalpataru Projects (KPIL)</t>
  </si>
  <si>
    <t xml:space="preserve">KEC International Ltd</t>
  </si>
  <si>
    <t xml:space="preserve">NCC Limited</t>
  </si>
  <si>
    <t xml:space="preserve">Rail Vikas Nigam Ltd (RVNL)</t>
  </si>
  <si>
    <t xml:space="preserve">2. PEER MULTIPLES SUMMARY (Excl. L&amp;T)</t>
  </si>
  <si>
    <t xml:space="preserve">Multiple</t>
  </si>
  <si>
    <t xml:space="preserve">Median Value</t>
  </si>
  <si>
    <t xml:space="preserve">Mean Value</t>
  </si>
  <si>
    <t xml:space="preserve">Min Value</t>
  </si>
  <si>
    <t xml:space="preserve">Max Value</t>
  </si>
  <si>
    <t xml:space="preserve">EV / Revenue</t>
  </si>
  <si>
    <t xml:space="preserve">EV / EBITDA</t>
  </si>
  <si>
    <t xml:space="preserve">EV / EBIT</t>
  </si>
  <si>
    <t xml:space="preserve">P / E Ratio</t>
  </si>
  <si>
    <t xml:space="preserve">3. L&amp;T IMPLIED VALUATION (Using Median Multiples)</t>
  </si>
  <si>
    <t xml:space="preserve">Metric / Parameter</t>
  </si>
  <si>
    <t xml:space="preserve">Implied EV (EV/EBITDA)</t>
  </si>
  <si>
    <t xml:space="preserve">Median EV/EBITDA * L&amp;T EBITDA</t>
  </si>
  <si>
    <t xml:space="preserve">Less: Net Debt</t>
  </si>
  <si>
    <t xml:space="preserve">L&amp;T FY26 Net Debt</t>
  </si>
  <si>
    <t xml:space="preserve">Implied Equity Value</t>
  </si>
  <si>
    <t xml:space="preserve">Implied EV - Net Debt</t>
  </si>
  <si>
    <t xml:space="preserve">Shares Outstanding (Cr)</t>
  </si>
  <si>
    <t xml:space="preserve">L&amp;T Shares</t>
  </si>
  <si>
    <t xml:space="preserve">Implied Share Price (EV/EBITDA)</t>
  </si>
  <si>
    <t xml:space="preserve">Implied Equity Value / Shares</t>
  </si>
  <si>
    <t xml:space="preserve">FINANCIAL HEALTH ANALYSIS</t>
  </si>
  <si>
    <t xml:space="preserve">1. ALTMAN Z-SCORE PREDICTABILITY MODEL</t>
  </si>
  <si>
    <t xml:space="preserve">Formula: Z = 1.2*X1 + 1.4*X2 + 3.3*X3 + 0.6*X4 + 1.0*X5</t>
  </si>
  <si>
    <t xml:space="preserve">Working Capital (CA - CL)</t>
  </si>
  <si>
    <t xml:space="preserve">Total Assets</t>
  </si>
  <si>
    <t xml:space="preserve">X1 = Working Capital / Total Assets</t>
  </si>
  <si>
    <t xml:space="preserve">Retained Earnings (Reserves)</t>
  </si>
  <si>
    <t xml:space="preserve">X2 = Retained Earnings / Total Assets</t>
  </si>
  <si>
    <t xml:space="preserve">X3 = EBIT / Total Assets</t>
  </si>
  <si>
    <t xml:space="preserve">Book Value of Equity</t>
  </si>
  <si>
    <t xml:space="preserve">Total Liabilities</t>
  </si>
  <si>
    <t xml:space="preserve">X4 = Book Equity / Total Liabilities</t>
  </si>
  <si>
    <t xml:space="preserve">X5 = Revenue / Total Assets</t>
  </si>
  <si>
    <t xml:space="preserve">Altman Z-Score</t>
  </si>
  <si>
    <t xml:space="preserve">Financial Stability Assessment</t>
  </si>
  <si>
    <t xml:space="preserve">Safe Zone</t>
  </si>
  <si>
    <t xml:space="preserve">2. DUPONT ANALYSIS (3-STAGE ROE DECOMPOSITION)</t>
  </si>
  <si>
    <t xml:space="preserve">Formula: ROE = Net Profit Margin x Asset Turnover x Equity Multiplier</t>
  </si>
  <si>
    <t xml:space="preserve">Net Profit Margin (PAT / Revenue)</t>
  </si>
  <si>
    <t xml:space="preserve">Asset Turnover Ratio (Revenue / Total Assets)</t>
  </si>
  <si>
    <t xml:space="preserve">Equity Multiplier (Total Assets / Equity)</t>
  </si>
  <si>
    <t xml:space="preserve">DuPont ROE (NPM x Asset Turnover x Equity Multiplier)</t>
  </si>
  <si>
    <t xml:space="preserve">VALUATION SUMMARY (FOOTBALL FIELD ANALYSIS)</t>
  </si>
  <si>
    <t xml:space="preserve">Valuation Methodology</t>
  </si>
  <si>
    <t xml:space="preserve">Min Share Price (Rs.)</t>
  </si>
  <si>
    <t xml:space="preserve">Mid / Target Share Price (Rs.)</t>
  </si>
  <si>
    <t xml:space="preserve">Max Share Price (Rs.)</t>
  </si>
  <si>
    <t xml:space="preserve">Notes / Methodology</t>
  </si>
  <si>
    <t xml:space="preserve">Range (Min–Max)</t>
  </si>
  <si>
    <t xml:space="preserve">52-Week High / Low Price Range</t>
  </si>
  <si>
    <t xml:space="preserve">Historical 52-week trading price range for LT.NS</t>
  </si>
  <si>
    <t xml:space="preserve">DCF Valuation (Bear Case)</t>
  </si>
  <si>
    <t xml:space="preserve">DCF valuation assuming 9.0% revenue growth &amp; 11.5% WACC</t>
  </si>
  <si>
    <t xml:space="preserve">DCF Valuation (Bull Case)</t>
  </si>
  <si>
    <t xml:space="preserve">DCF valuation assuming 15.0% revenue growth &amp; 9.5% WACC</t>
  </si>
  <si>
    <t xml:space="preserve">Comparable Valuation (EV/EBITDA)</t>
  </si>
  <si>
    <t xml:space="preserve">Peer median EV/EBITDA multiple valuation</t>
  </si>
  <si>
    <t xml:space="preserve">Comparable Valuation (P/E)</t>
  </si>
  <si>
    <t xml:space="preserve">Peer median P/E multiple valuation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</si>
</sst>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0.00%"/>
    <numFmt numFmtId="167" formatCode="#,##0"/>
    <numFmt numFmtId="168" formatCode="0.0%"/>
    <numFmt numFmtId="169" formatCode="0.0"/>
    <numFmt numFmtId="170" formatCode="0%"/>
    <numFmt numFmtId="171" formatCode="0.00\x"/>
    <numFmt numFmtId="172" formatCode="0.00"/>
    <numFmt numFmtId="173" formatCode="0.0000"/>
    <numFmt numFmtId="174" formatCode="0.00\x"/>
    <numFmt numFmtId="175" formatCode="0.000\x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2"/>
      <charset val="1"/>
    </font>
    <font>
      <b val="true"/>
      <i val="true"/>
      <sz val="12"/>
      <color rgb="FF595959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i val="true"/>
      <sz val="9"/>
      <color rgb="FF595959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4E79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</font>
    <font>
      <sz val="10"/>
      <color rgb="FF00206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0"/>
      <color rgb="FF1F4E79"/>
      <name val="Calibri"/>
      <family val="2"/>
      <charset val="1"/>
    </font>
    <font>
      <b val="true"/>
      <sz val="10"/>
      <color rgb="FF70AD47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D6DCE4"/>
      </patternFill>
    </fill>
    <fill>
      <patternFill patternType="solid">
        <fgColor rgb="FF1F4E79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8FBFF"/>
      </patternFill>
    </fill>
    <fill>
      <patternFill patternType="solid">
        <fgColor rgb="FFF8FBFF"/>
        <bgColor rgb="FFF9F9F9"/>
      </patternFill>
    </fill>
    <fill>
      <patternFill patternType="solid">
        <fgColor rgb="FF9DC3E6"/>
        <bgColor rgb="FFB8CCE4"/>
      </patternFill>
    </fill>
    <fill>
      <patternFill patternType="solid">
        <fgColor rgb="FFD6DCE4"/>
        <bgColor rgb="FFD9D9D9"/>
      </patternFill>
    </fill>
    <fill>
      <patternFill patternType="solid">
        <fgColor rgb="FF70AD47"/>
        <bgColor rgb="FF878787"/>
      </patternFill>
    </fill>
    <fill>
      <patternFill patternType="solid">
        <fgColor rgb="FFFFD966"/>
        <bgColor rgb="FFD9D9D9"/>
      </patternFill>
    </fill>
    <fill>
      <patternFill patternType="solid">
        <fgColor rgb="FFED7D31"/>
        <bgColor rgb="FFC9A227"/>
      </patternFill>
    </fill>
    <fill>
      <patternFill patternType="solid">
        <fgColor rgb="FFFF0000"/>
        <bgColor rgb="FFC0392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CCE4"/>
      </bottom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504D"/>
      <rgbColor rgb="FFBE4B48"/>
      <rgbColor rgb="FF008080"/>
      <rgbColor rgb="FFBFBFBF"/>
      <rgbColor rgb="FF808080"/>
      <rgbColor rgb="FF8FAADC"/>
      <rgbColor rgb="FF9D3E3B"/>
      <rgbColor rgb="FFF9F9F9"/>
      <rgbColor rgb="FFF2F2F2"/>
      <rgbColor rgb="FF660066"/>
      <rgbColor rgb="FFCC8F8E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BFF"/>
      <rgbColor rgb="FFD9E1F2"/>
      <rgbColor rgb="FFD9D9D9"/>
      <rgbColor rgb="FF9DC3E6"/>
      <rgbColor rgb="FFD4A5A4"/>
      <rgbColor rgb="FFB3B3B3"/>
      <rgbColor rgb="FFFFD966"/>
      <rgbColor rgb="FF4F81BD"/>
      <rgbColor rgb="FFB8CCE4"/>
      <rgbColor rgb="FF70AD47"/>
      <rgbColor rgb="FFD6DCE4"/>
      <rgbColor rgb="FFC9A227"/>
      <rgbColor rgb="FFED7D31"/>
      <rgbColor rgb="FF595959"/>
      <rgbColor rgb="FF878787"/>
      <rgbColor rgb="FF002060"/>
      <rgbColor rgb="FF2E7D32"/>
      <rgbColor rgb="FF003300"/>
      <rgbColor rgb="FF333300"/>
      <rgbColor rgb="FFC0392B"/>
      <rgbColor rgb="FFAA433F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Capital Structure (FY26)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9a22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5f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'Cover &amp; Summary'!$A$15:$A$16</c:f>
              <c:strCache>
                <c:ptCount val="2"/>
                <c:pt idx="0">
                  <c:v>Total Debt</c:v>
                </c:pt>
                <c:pt idx="1">
                  <c:v>Total Equity</c:v>
                </c:pt>
              </c:strCache>
            </c:strRef>
          </c:cat>
          <c:val>
            <c:numRef>
              <c:f>'Cover &amp; Summary'!$B$15:$B$16</c:f>
              <c:numCache>
                <c:formatCode>#,##0.00</c:formatCode>
                <c:ptCount val="2"/>
                <c:pt idx="0">
                  <c:v>159535.37</c:v>
                </c:pt>
                <c:pt idx="1">
                  <c:v>128530.46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Growth Scenarios (Base / Best / Worst Case)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 Growth"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'Assumptions &amp; Drivers'!$A$5:$A$7</c:f>
              <c:strCache>
                <c:ptCount val="3"/>
                <c:pt idx="0">
                  <c:v>Revenue Growth - Base Case</c:v>
                </c:pt>
                <c:pt idx="1">
                  <c:v>Revenue Growth - Best Case</c:v>
                </c:pt>
                <c:pt idx="2">
                  <c:v>Revenue Growth - Worst Case</c:v>
                </c:pt>
              </c:strCache>
            </c:strRef>
          </c:cat>
          <c:val>
            <c:numRef>
              <c:f>'Assumptions &amp; Drivers'!$B$5:$B$7</c:f>
              <c:numCache>
                <c:formatCode>0.00%</c:formatCode>
                <c:ptCount val="3"/>
                <c:pt idx="0">
                  <c:v>0.12</c:v>
                </c:pt>
                <c:pt idx="1">
                  <c:v>0.15</c:v>
                </c:pt>
                <c:pt idx="2">
                  <c:v>0.09</c:v>
                </c:pt>
              </c:numCache>
            </c:numRef>
          </c:val>
        </c:ser>
        <c:gapWidth val="150"/>
        <c:overlap val="0"/>
        <c:axId val="96112703"/>
        <c:axId val="22449423"/>
      </c:barChart>
      <c:catAx>
        <c:axId val="961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49423"/>
        <c:crosses val="autoZero"/>
        <c:auto val="1"/>
        <c:lblAlgn val="ctr"/>
        <c:lblOffset val="100"/>
        <c:noMultiLvlLbl val="0"/>
      </c:catAx>
      <c:valAx>
        <c:axId val="22449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Growth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12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Growth vs EBITDA Margin (FY22–FY31F)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 from Operations"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'Income Statement'!$B$3:$K$3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'Income Statement'!$B$5:$K$5</c:f>
              <c:numCache>
                <c:formatCode>#,##0.00</c:formatCode>
                <c:ptCount val="10"/>
                <c:pt idx="0">
                  <c:v>156521.23</c:v>
                </c:pt>
                <c:pt idx="1">
                  <c:v>183340.7</c:v>
                </c:pt>
                <c:pt idx="2">
                  <c:v>221112.89</c:v>
                </c:pt>
                <c:pt idx="3">
                  <c:v>255734.45</c:v>
                </c:pt>
                <c:pt idx="4">
                  <c:v>285874.36</c:v>
                </c:pt>
                <c:pt idx="5">
                  <c:v>320179.2832</c:v>
                </c:pt>
                <c:pt idx="6">
                  <c:v>358600.797184</c:v>
                </c:pt>
                <c:pt idx="7">
                  <c:v>401632.89284608</c:v>
                </c:pt>
                <c:pt idx="8">
                  <c:v>449828.83998761</c:v>
                </c:pt>
                <c:pt idx="9">
                  <c:v>503808.300786123</c:v>
                </c:pt>
              </c:numCache>
            </c:numRef>
          </c:val>
        </c:ser>
        <c:gapWidth val="150"/>
        <c:overlap val="0"/>
        <c:axId val="96062193"/>
        <c:axId val="32720613"/>
      </c:barChart>
      <c:lineChart>
        <c:grouping val="standard"/>
        <c:varyColors val="0"/>
        <c:ser>
          <c:idx val="1"/>
          <c:order val="1"/>
          <c:tx>
            <c:strRef>
              <c:f>"EBITDA Margin %"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rgbClr val="c9a227"/>
            </a:solidFill>
            <a:ln w="24840">
              <a:solidFill>
                <a:srgbClr val="c9a227"/>
              </a:solidFill>
              <a:round/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cat>
            <c:multiLvlStrRef>
              <c:f>'Income Statement'!$B$3:$K$3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'Income Statement'!$B$29:$K$29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446195"/>
        <c:axId val="82373431"/>
      </c:lineChart>
      <c:catAx>
        <c:axId val="960621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20613"/>
        <c:crosses val="autoZero"/>
        <c:auto val="1"/>
        <c:lblAlgn val="ctr"/>
        <c:lblOffset val="100"/>
        <c:noMultiLvlLbl val="0"/>
      </c:catAx>
      <c:valAx>
        <c:axId val="327206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 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62193"/>
        <c:crosses val="autoZero"/>
        <c:crossBetween val="between"/>
      </c:valAx>
      <c:catAx>
        <c:axId val="71446195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73431"/>
        <c:crosses val="autoZero"/>
        <c:auto val="1"/>
        <c:lblAlgn val="ctr"/>
        <c:lblOffset val="100"/>
        <c:noMultiLvlLbl val="0"/>
      </c:catAx>
      <c:valAx>
        <c:axId val="8237343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EBITDA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4619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Capital Structure: Debt, Equity &amp; Total Assets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"Total Equity"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'Balance Sheet'!$B$10:$K$10</c:f>
              <c:numCache>
                <c:formatCode>#,##0.00</c:formatCode>
                <c:ptCount val="10"/>
                <c:pt idx="0">
                  <c:v>95373.73</c:v>
                </c:pt>
                <c:pt idx="1">
                  <c:v>103567.22</c:v>
                </c:pt>
                <c:pt idx="2">
                  <c:v>102549.66</c:v>
                </c:pt>
                <c:pt idx="3">
                  <c:v>115403.68</c:v>
                </c:pt>
                <c:pt idx="4">
                  <c:v>128530.46</c:v>
                </c:pt>
                <c:pt idx="5">
                  <c:v>155660.14695512</c:v>
                </c:pt>
                <c:pt idx="6">
                  <c:v>186554.13234297</c:v>
                </c:pt>
                <c:pt idx="7">
                  <c:v>221605.546875713</c:v>
                </c:pt>
                <c:pt idx="8">
                  <c:v>261277.809657286</c:v>
                </c:pt>
                <c:pt idx="9">
                  <c:v>306107.127942908</c:v>
                </c:pt>
              </c:numCache>
            </c:numRef>
          </c:val>
        </c:ser>
        <c:ser>
          <c:idx val="1"/>
          <c:order val="1"/>
          <c:tx>
            <c:strRef>
              <c:f>"Total Debt"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'Balance Sheet'!$B$47:$K$47</c:f>
              <c:numCache>
                <c:formatCode>#,##0.00</c:formatCode>
                <c:ptCount val="10"/>
                <c:pt idx="0">
                  <c:v>132342.8</c:v>
                </c:pt>
                <c:pt idx="1">
                  <c:v>128365.34</c:v>
                </c:pt>
                <c:pt idx="2">
                  <c:v>123993.96</c:v>
                </c:pt>
                <c:pt idx="3">
                  <c:v>138934.47</c:v>
                </c:pt>
                <c:pt idx="4">
                  <c:v>159535.37</c:v>
                </c:pt>
                <c:pt idx="5">
                  <c:v>172298.1996</c:v>
                </c:pt>
                <c:pt idx="6">
                  <c:v>186082.055568</c:v>
                </c:pt>
                <c:pt idx="7">
                  <c:v>200968.62001344</c:v>
                </c:pt>
                <c:pt idx="8">
                  <c:v>217046.109614515</c:v>
                </c:pt>
                <c:pt idx="9">
                  <c:v>234409.798383677</c:v>
                </c:pt>
              </c:numCache>
            </c:numRef>
          </c:val>
        </c:ser>
        <c:gapWidth val="150"/>
        <c:overlap val="100"/>
        <c:axId val="69235302"/>
        <c:axId val="11799634"/>
      </c:barChart>
      <c:lineChart>
        <c:grouping val="stacked"/>
        <c:varyColors val="0"/>
        <c:ser>
          <c:idx val="2"/>
          <c:order val="2"/>
          <c:tx>
            <c:strRef>
              <c:f>"Total Assets"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diamond"/>
            <c:size val="6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'Balance Sheet'!$B$45:$K$45</c:f>
              <c:numCache>
                <c:formatCode>#,##0.00</c:formatCode>
                <c:ptCount val="10"/>
                <c:pt idx="0">
                  <c:v>320048.92</c:v>
                </c:pt>
                <c:pt idx="1">
                  <c:v>330352.31</c:v>
                </c:pt>
                <c:pt idx="2">
                  <c:v>339627.24</c:v>
                </c:pt>
                <c:pt idx="3">
                  <c:v>379524.1</c:v>
                </c:pt>
                <c:pt idx="4">
                  <c:v>452549.89</c:v>
                </c:pt>
                <c:pt idx="5">
                  <c:v>512920.107298134</c:v>
                </c:pt>
                <c:pt idx="6">
                  <c:v>574338.818407145</c:v>
                </c:pt>
                <c:pt idx="7">
                  <c:v>642719.04632999</c:v>
                </c:pt>
                <c:pt idx="8">
                  <c:v>718791.990337468</c:v>
                </c:pt>
                <c:pt idx="9">
                  <c:v>812355.708859556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357498"/>
        <c:axId val="15630799"/>
      </c:lineChart>
      <c:catAx>
        <c:axId val="692353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99634"/>
        <c:crosses val="autoZero"/>
        <c:auto val="1"/>
        <c:lblAlgn val="ctr"/>
        <c:lblOffset val="100"/>
        <c:noMultiLvlLbl val="0"/>
      </c:catAx>
      <c:valAx>
        <c:axId val="117996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35302"/>
        <c:crosses val="autoZero"/>
        <c:crossBetween val="between"/>
      </c:valAx>
      <c:catAx>
        <c:axId val="58357498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30799"/>
        <c:crosses val="autoZero"/>
        <c:auto val="1"/>
        <c:lblAlgn val="ctr"/>
        <c:lblOffset val="100"/>
        <c:noMultiLvlLbl val="0"/>
      </c:catAx>
      <c:valAx>
        <c:axId val="15630799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57498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Composition: Current vs Non-Current Assets (FY22–FY31F)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"Total Non-Current Assets"</c:f>
              <c:strCache>
                <c:ptCount val="1"/>
                <c:pt idx="0">
                  <c:v>Total Non-Current Assets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'Balance Sheet'!$B$35:$K$35</c:f>
              <c:numCache>
                <c:formatCode>#,##0.00</c:formatCode>
                <c:ptCount val="10"/>
                <c:pt idx="0">
                  <c:v>111867.75</c:v>
                </c:pt>
                <c:pt idx="1">
                  <c:v>108147.99</c:v>
                </c:pt>
                <c:pt idx="2">
                  <c:v>121547.37</c:v>
                </c:pt>
                <c:pt idx="3">
                  <c:v>134182.39</c:v>
                </c:pt>
                <c:pt idx="4">
                  <c:v>134238.57</c:v>
                </c:pt>
                <c:pt idx="5">
                  <c:v>153768.135744</c:v>
                </c:pt>
                <c:pt idx="6">
                  <c:v>164405.93642496</c:v>
                </c:pt>
                <c:pt idx="7">
                  <c:v>176485.541509325</c:v>
                </c:pt>
                <c:pt idx="8">
                  <c:v>190034.334623859</c:v>
                </c:pt>
                <c:pt idx="9">
                  <c:v>205115.814021272</c:v>
                </c:pt>
              </c:numCache>
            </c:numRef>
          </c:val>
        </c:ser>
        <c:ser>
          <c:idx val="1"/>
          <c:order val="1"/>
          <c:tx>
            <c:strRef>
              <c:f>"Total Current Assets"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'Balance Sheet'!$B$44:$K$44</c:f>
              <c:numCache>
                <c:formatCode>#,##0.00</c:formatCode>
                <c:ptCount val="10"/>
                <c:pt idx="0">
                  <c:v>208181.17</c:v>
                </c:pt>
                <c:pt idx="1">
                  <c:v>222204.32</c:v>
                </c:pt>
                <c:pt idx="2">
                  <c:v>218079.87</c:v>
                </c:pt>
                <c:pt idx="3">
                  <c:v>245341.71</c:v>
                </c:pt>
                <c:pt idx="4">
                  <c:v>318311.32</c:v>
                </c:pt>
                <c:pt idx="5">
                  <c:v>359151.971554134</c:v>
                </c:pt>
                <c:pt idx="6">
                  <c:v>409932.881982185</c:v>
                </c:pt>
                <c:pt idx="7">
                  <c:v>466233.504820665</c:v>
                </c:pt>
                <c:pt idx="8">
                  <c:v>528757.655713609</c:v>
                </c:pt>
                <c:pt idx="9">
                  <c:v>607239.894838284</c:v>
                </c:pt>
              </c:numCache>
            </c:numRef>
          </c:val>
        </c:ser>
        <c:gapWidth val="150"/>
        <c:overlap val="100"/>
        <c:axId val="6584509"/>
        <c:axId val="61310029"/>
      </c:barChart>
      <c:catAx>
        <c:axId val="6584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10029"/>
        <c:crosses val="autoZero"/>
        <c:auto val="1"/>
        <c:lblAlgn val="ctr"/>
        <c:lblOffset val="100"/>
        <c:noMultiLvlLbl val="0"/>
      </c:catAx>
      <c:valAx>
        <c:axId val="61310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4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Composition: Operating / Investing / Financing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"CFO"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 Flow Statement'!$B$3:$K$3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'Cash Flow Statement'!$B$10:$K$10</c:f>
              <c:numCache>
                <c:formatCode>#,##0.00</c:formatCode>
                <c:ptCount val="10"/>
                <c:pt idx="0">
                  <c:v>14297.75</c:v>
                </c:pt>
                <c:pt idx="1">
                  <c:v>12686.31</c:v>
                </c:pt>
                <c:pt idx="2">
                  <c:v>25671.5</c:v>
                </c:pt>
                <c:pt idx="3">
                  <c:v>30412.08</c:v>
                </c:pt>
                <c:pt idx="4">
                  <c:v>28566.42</c:v>
                </c:pt>
                <c:pt idx="5">
                  <c:v>42033.0667783507</c:v>
                </c:pt>
                <c:pt idx="6">
                  <c:v>49850.9608051141</c:v>
                </c:pt>
                <c:pt idx="7">
                  <c:v>56690.9575480119</c:v>
                </c:pt>
                <c:pt idx="8">
                  <c:v>64460.0980076051</c:v>
                </c:pt>
                <c:pt idx="9">
                  <c:v>82234.8613689252</c:v>
                </c:pt>
              </c:numCache>
            </c:numRef>
          </c:val>
        </c:ser>
        <c:ser>
          <c:idx val="1"/>
          <c:order val="1"/>
          <c:tx>
            <c:strRef>
              <c:f>"CFI"</c:f>
              <c:strCache>
                <c:ptCount val="1"/>
                <c:pt idx="0">
                  <c:v>CFI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 Flow Statement'!$B$3:$K$3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'Cash Flow Statement'!$B$13:$K$13</c:f>
              <c:numCache>
                <c:formatCode>#,##0.00</c:formatCode>
                <c:ptCount val="10"/>
                <c:pt idx="0">
                  <c:v>1400.8</c:v>
                </c:pt>
                <c:pt idx="1">
                  <c:v>-4837.8</c:v>
                </c:pt>
                <c:pt idx="2">
                  <c:v>-5419.4</c:v>
                </c:pt>
                <c:pt idx="3">
                  <c:v>-4460.11</c:v>
                </c:pt>
                <c:pt idx="4">
                  <c:v>-17343.74</c:v>
                </c:pt>
                <c:pt idx="5">
                  <c:v>-14408.067744</c:v>
                </c:pt>
                <c:pt idx="6">
                  <c:v>-16137.03587328</c:v>
                </c:pt>
                <c:pt idx="7">
                  <c:v>-18073.4801780736</c:v>
                </c:pt>
                <c:pt idx="8">
                  <c:v>-20242.2977994424</c:v>
                </c:pt>
                <c:pt idx="9">
                  <c:v>-22671.3735353755</c:v>
                </c:pt>
              </c:numCache>
            </c:numRef>
          </c:val>
        </c:ser>
        <c:ser>
          <c:idx val="2"/>
          <c:order val="2"/>
          <c:tx>
            <c:strRef>
              <c:f>"CFF"</c:f>
              <c:strCache>
                <c:ptCount val="1"/>
                <c:pt idx="0">
                  <c:v>CFF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 Flow Statement'!$B$3:$K$3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'Cash Flow Statement'!$B$17:$K$17</c:f>
              <c:numCache>
                <c:formatCode>#,##0.00</c:formatCode>
                <c:ptCount val="10"/>
                <c:pt idx="0">
                  <c:v>-20152</c:v>
                </c:pt>
                <c:pt idx="1">
                  <c:v>-3276.41</c:v>
                </c:pt>
                <c:pt idx="2">
                  <c:v>-3420.4</c:v>
                </c:pt>
                <c:pt idx="3">
                  <c:v>-4197.72</c:v>
                </c:pt>
                <c:pt idx="4">
                  <c:v>-16315.72</c:v>
                </c:pt>
                <c:pt idx="5">
                  <c:v>-5323.62837008001</c:v>
                </c:pt>
                <c:pt idx="6">
                  <c:v>-6812.1342905664</c:v>
                </c:pt>
                <c:pt idx="7">
                  <c:v>-8481.04524305586</c:v>
                </c:pt>
                <c:pt idx="8">
                  <c:v>-10370.6855866399</c:v>
                </c:pt>
                <c:pt idx="9">
                  <c:v>-12522.5234212536</c:v>
                </c:pt>
              </c:numCache>
            </c:numRef>
          </c:val>
        </c:ser>
        <c:gapWidth val="150"/>
        <c:overlap val="0"/>
        <c:axId val="39615920"/>
        <c:axId val="41565512"/>
      </c:barChart>
      <c:catAx>
        <c:axId val="39615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65512"/>
        <c:crosses val="autoZero"/>
        <c:auto val="1"/>
        <c:lblAlgn val="ctr"/>
        <c:lblOffset val="100"/>
        <c:noMultiLvlLbl val="0"/>
      </c:catAx>
      <c:valAx>
        <c:axId val="41565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15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Working Capital Efficiency: Days &amp; Cash Conversion Cycle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"Receivable Days"</c:f>
              <c:strCache>
                <c:ptCount val="1"/>
                <c:pt idx="0">
                  <c:v>Receivable Days</c:v>
                </c:pt>
              </c:strCache>
            </c:strRef>
          </c:tx>
          <c:spPr>
            <a:solidFill>
              <a:srgbClr val="2e5fa3"/>
            </a:solidFill>
            <a:ln w="20160">
              <a:solidFill>
                <a:srgbClr val="2e5fa3"/>
              </a:solidFill>
              <a:round/>
            </a:ln>
          </c:spPr>
          <c:marker>
            <c:symbol val="circle"/>
            <c:size val="5"/>
            <c:spPr>
              <a:solidFill>
                <a:srgbClr val="2e5fa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'WC &amp; PPE Schedule'!$B$3:$K$3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'WC &amp; PPE Schedule'!$B$12:$K$12</c:f>
              <c:numCache>
                <c:formatCode>0.0</c:formatCode>
                <c:ptCount val="10"/>
                <c:pt idx="0">
                  <c:v>107.59374814522</c:v>
                </c:pt>
                <c:pt idx="1">
                  <c:v>89.0528314225919</c:v>
                </c:pt>
                <c:pt idx="2">
                  <c:v>80.508181816085</c:v>
                </c:pt>
                <c:pt idx="3">
                  <c:v>76.6634812009098</c:v>
                </c:pt>
                <c:pt idx="4">
                  <c:v>77.1960098135419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"Inventory Days"</c:f>
              <c:strCache>
                <c:ptCount val="1"/>
                <c:pt idx="0">
                  <c:v>Inventory Days</c:v>
                </c:pt>
              </c:strCache>
            </c:strRef>
          </c:tx>
          <c:spPr>
            <a:solidFill>
              <a:srgbClr val="c9a227"/>
            </a:solidFill>
            <a:ln w="20160">
              <a:solidFill>
                <a:srgbClr val="c9a227"/>
              </a:solidFill>
              <a:round/>
            </a:ln>
          </c:spPr>
          <c:marker>
            <c:symbol val="circle"/>
            <c:size val="5"/>
            <c:spPr>
              <a:solidFill>
                <a:srgbClr val="c9a22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'WC &amp; PPE Schedule'!$B$3:$K$3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'WC &amp; PPE Schedule'!$B$13:$K$13</c:f>
              <c:numCache>
                <c:formatCode>0.0</c:formatCode>
                <c:ptCount val="10"/>
                <c:pt idx="0">
                  <c:v>13.85953713755</c:v>
                </c:pt>
                <c:pt idx="1">
                  <c:v>13.5949339126555</c:v>
                </c:pt>
                <c:pt idx="2">
                  <c:v>10.9282156729985</c:v>
                </c:pt>
                <c:pt idx="3">
                  <c:v>10.947882657186</c:v>
                </c:pt>
                <c:pt idx="4">
                  <c:v>12.1689453017053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"Payable Days"</c:f>
              <c:strCache>
                <c:ptCount val="1"/>
                <c:pt idx="0">
                  <c:v>Payable Days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circle"/>
            <c:size val="5"/>
            <c:spPr>
              <a:solidFill>
                <a:srgbClr val="c0392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'WC &amp; PPE Schedule'!$B$3:$K$3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'WC &amp; PPE Schedule'!$B$14:$K$14</c:f>
              <c:numCache>
                <c:formatCode>0.0</c:formatCode>
                <c:ptCount val="10"/>
                <c:pt idx="0">
                  <c:v>119.265914278849</c:v>
                </c:pt>
                <c:pt idx="1">
                  <c:v>99.1116746036205</c:v>
                </c:pt>
                <c:pt idx="2">
                  <c:v>87.9727147521793</c:v>
                </c:pt>
                <c:pt idx="3">
                  <c:v>74.8732096907554</c:v>
                </c:pt>
                <c:pt idx="4">
                  <c:v>88.6798835334516</c:v>
                </c:pt>
                <c:pt idx="5">
                  <c:v>86</c:v>
                </c:pt>
                <c:pt idx="6">
                  <c:v>86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"Cash Conversion Cycle"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solidFill>
              <a:srgbClr val="2e7d32"/>
            </a:solidFill>
            <a:ln w="20160">
              <a:solidFill>
                <a:srgbClr val="2e7d32"/>
              </a:solidFill>
              <a:round/>
            </a:ln>
          </c:spPr>
          <c:marker>
            <c:symbol val="circle"/>
            <c:size val="5"/>
            <c:spPr>
              <a:solidFill>
                <a:srgbClr val="2e7d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'WC &amp; PPE Schedule'!$B$3:$K$3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'WC &amp; PPE Schedule'!$B$15:$K$15</c:f>
              <c:numCache>
                <c:formatCode>0.0</c:formatCode>
                <c:ptCount val="10"/>
                <c:pt idx="0">
                  <c:v>2.18737100392069</c:v>
                </c:pt>
                <c:pt idx="1">
                  <c:v>3.53609073162694</c:v>
                </c:pt>
                <c:pt idx="2">
                  <c:v>3.4636827369042</c:v>
                </c:pt>
                <c:pt idx="3">
                  <c:v>12.7381541673404</c:v>
                </c:pt>
                <c:pt idx="4">
                  <c:v>0.685071581795583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089043"/>
        <c:axId val="27037614"/>
      </c:lineChart>
      <c:catAx>
        <c:axId val="520890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37614"/>
        <c:crosses val="autoZero"/>
        <c:auto val="1"/>
        <c:lblAlgn val="ctr"/>
        <c:lblOffset val="100"/>
        <c:noMultiLvlLbl val="0"/>
      </c:catAx>
      <c:valAx>
        <c:axId val="27037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89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Structure as % of Revenue (Common-Size)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"Operating &amp; Direct Exp."</c:f>
              <c:strCache>
                <c:ptCount val="1"/>
                <c:pt idx="0">
                  <c:v>Operating &amp; Direct Exp.</c:v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'Common-size &amp; Trend'!$B$4:$F$4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'Common-size &amp; Trend'!$B$6:$F$6</c:f>
              <c:numCache>
                <c:formatCode>0.00%</c:formatCode>
                <c:ptCount val="5"/>
                <c:pt idx="0">
                  <c:v>0.526101283512786</c:v>
                </c:pt>
                <c:pt idx="1">
                  <c:v>0.549636823683994</c:v>
                </c:pt>
                <c:pt idx="2">
                  <c:v>0.530418194977235</c:v>
                </c:pt>
                <c:pt idx="3">
                  <c:v>0.537979533066429</c:v>
                </c:pt>
                <c:pt idx="4">
                  <c:v>0.537735563273321</c:v>
                </c:pt>
              </c:numCache>
            </c:numRef>
          </c:val>
        </c:ser>
        <c:ser>
          <c:idx val="1"/>
          <c:order val="1"/>
          <c:tx>
            <c:strRef>
              <c:f>"Employee Benefit Exp."</c:f>
              <c:strCache>
                <c:ptCount val="1"/>
                <c:pt idx="0">
                  <c:v>Employee Benefit Exp.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'Common-size &amp; Trend'!$B$4:$F$4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'Common-size &amp; Trend'!$B$7:$F$7</c:f>
              <c:numCache>
                <c:formatCode>0.00%</c:formatCode>
                <c:ptCount val="5"/>
                <c:pt idx="0">
                  <c:v>0.189964837357846</c:v>
                </c:pt>
                <c:pt idx="1">
                  <c:v>0.19744879342121</c:v>
                </c:pt>
                <c:pt idx="2">
                  <c:v>0.187689645773252</c:v>
                </c:pt>
                <c:pt idx="3">
                  <c:v>0.182879858384351</c:v>
                </c:pt>
                <c:pt idx="4">
                  <c:v>0.18255299286022</c:v>
                </c:pt>
              </c:numCache>
            </c:numRef>
          </c:val>
        </c:ser>
        <c:ser>
          <c:idx val="2"/>
          <c:order val="2"/>
          <c:tx>
            <c:strRef>
              <c:f>"Finance Costs"</c:f>
              <c:strCache>
                <c:ptCount val="1"/>
                <c:pt idx="0">
                  <c:v>Finance Costs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'Common-size &amp; Trend'!$B$4:$F$4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'Common-size &amp; Trend'!$B$8:$F$8</c:f>
              <c:numCache>
                <c:formatCode>0.00%</c:formatCode>
                <c:ptCount val="5"/>
                <c:pt idx="0">
                  <c:v>0.0199698149573703</c:v>
                </c:pt>
                <c:pt idx="1">
                  <c:v>0.0174543895599831</c:v>
                </c:pt>
                <c:pt idx="2">
                  <c:v>0.0147001832412394</c:v>
                </c:pt>
                <c:pt idx="3">
                  <c:v>0.0130384076138354</c:v>
                </c:pt>
                <c:pt idx="4">
                  <c:v>0.00996528684839032</c:v>
                </c:pt>
              </c:numCache>
            </c:numRef>
          </c:val>
        </c:ser>
        <c:ser>
          <c:idx val="3"/>
          <c:order val="3"/>
          <c:tx>
            <c:strRef>
              <c:f>"Depreciation &amp; Amort."</c:f>
              <c:strCache>
                <c:ptCount val="1"/>
                <c:pt idx="0">
                  <c:v>Depreciation &amp; Amort.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'Common-size &amp; Trend'!$B$4:$F$4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'Common-size &amp; Trend'!$B$9:$F$9</c:f>
              <c:numCache>
                <c:formatCode>0.00%</c:formatCode>
                <c:ptCount val="5"/>
                <c:pt idx="0">
                  <c:v>0.0188341862634225</c:v>
                </c:pt>
                <c:pt idx="1">
                  <c:v>0.0191032323973891</c:v>
                </c:pt>
                <c:pt idx="2">
                  <c:v>0.0172332784398051</c:v>
                </c:pt>
                <c:pt idx="3">
                  <c:v>0.0161150756184785</c:v>
                </c:pt>
                <c:pt idx="4">
                  <c:v>0.0152680709105916</c:v>
                </c:pt>
              </c:numCache>
            </c:numRef>
          </c:val>
        </c:ser>
        <c:ser>
          <c:idx val="4"/>
          <c:order val="4"/>
          <c:tx>
            <c:strRef>
              <c:f>"Other Expenses"</c:f>
              <c:strCache>
                <c:ptCount val="1"/>
                <c:pt idx="0">
                  <c:v>Other Expenses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'Common-size &amp; Trend'!$B$4:$F$4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'Common-size &amp; Trend'!$B$10:$F$10</c:f>
              <c:numCache>
                <c:formatCode>0.00%</c:formatCode>
                <c:ptCount val="5"/>
                <c:pt idx="0">
                  <c:v>0.0564261474306073</c:v>
                </c:pt>
                <c:pt idx="1">
                  <c:v>0.0515444743038507</c:v>
                </c:pt>
                <c:pt idx="2">
                  <c:v>0.0461316389107844</c:v>
                </c:pt>
                <c:pt idx="3">
                  <c:v>0.0451958271558642</c:v>
                </c:pt>
                <c:pt idx="4">
                  <c:v>0.0409251462775465</c:v>
                </c:pt>
              </c:numCache>
            </c:numRef>
          </c:val>
        </c:ser>
        <c:ser>
          <c:idx val="5"/>
          <c:order val="5"/>
          <c:tx>
            <c:strRef>
              <c:f>"Consolidated PAT"</c:f>
              <c:strCache>
                <c:ptCount val="1"/>
                <c:pt idx="0">
                  <c:v>Consolidated PAT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'Common-size &amp; Trend'!$B$4:$F$4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'Common-size &amp; Trend'!$B$12:$F$12</c:f>
              <c:numCache>
                <c:formatCode>0.00%</c:formatCode>
                <c:ptCount val="5"/>
                <c:pt idx="0">
                  <c:v>0.17506385555493</c:v>
                </c:pt>
                <c:pt idx="1">
                  <c:v>0.154078881557668</c:v>
                </c:pt>
                <c:pt idx="2">
                  <c:v>0.195844801268709</c:v>
                </c:pt>
                <c:pt idx="3">
                  <c:v>0.199794943543977</c:v>
                </c:pt>
                <c:pt idx="4">
                  <c:v>0.204553706740262</c:v>
                </c:pt>
              </c:numCache>
            </c:numRef>
          </c:val>
        </c:ser>
        <c:gapWidth val="150"/>
        <c:overlap val="100"/>
        <c:axId val="95411699"/>
        <c:axId val="32405999"/>
      </c:barChart>
      <c:catAx>
        <c:axId val="954116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05999"/>
        <c:crosses val="autoZero"/>
        <c:auto val="1"/>
        <c:lblAlgn val="ctr"/>
        <c:lblOffset val="100"/>
        <c:noMultiLvlLbl val="0"/>
      </c:catAx>
      <c:valAx>
        <c:axId val="324059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11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Liquidity Ratios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"Current Ratio"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rgbClr val="2e5fa3"/>
            </a:solidFill>
            <a:ln w="21960">
              <a:solidFill>
                <a:srgbClr val="2e5fa3"/>
              </a:solidFill>
              <a:round/>
            </a:ln>
          </c:spPr>
          <c:marker>
            <c:symbol val="circle"/>
            <c:size val="6"/>
            <c:spPr>
              <a:solidFill>
                <a:srgbClr val="2e5fa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Analysis'!$C$4:$G$4</c:f>
              <c:numCache>
                <c:formatCode>0.00\x</c:formatCode>
                <c:ptCount val="5"/>
                <c:pt idx="0">
                  <c:v>1.30575525737905</c:v>
                </c:pt>
                <c:pt idx="1">
                  <c:v>1.37107310423365</c:v>
                </c:pt>
                <c:pt idx="2">
                  <c:v>1.23487524655193</c:v>
                </c:pt>
                <c:pt idx="3">
                  <c:v>1.21473791521452</c:v>
                </c:pt>
                <c:pt idx="4">
                  <c:v>1.25074429016047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"Quick Ratio"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rgbClr val="c9a227"/>
            </a:solidFill>
            <a:ln w="21960">
              <a:solidFill>
                <a:srgbClr val="c9a227"/>
              </a:solidFill>
              <a:round/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Analysis'!$C$5:$G$5</c:f>
              <c:numCache>
                <c:formatCode>0.00\x</c:formatCode>
                <c:ptCount val="5"/>
                <c:pt idx="0">
                  <c:v>0.595135791072305</c:v>
                </c:pt>
                <c:pt idx="1">
                  <c:v>0.634460999497797</c:v>
                </c:pt>
                <c:pt idx="2">
                  <c:v>0.561079051032235</c:v>
                </c:pt>
                <c:pt idx="3">
                  <c:v>0.594341264013776</c:v>
                </c:pt>
                <c:pt idx="4">
                  <c:v>0.553379812895623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7993"/>
        <c:axId val="67352254"/>
      </c:lineChart>
      <c:catAx>
        <c:axId val="9979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52254"/>
        <c:crosses val="autoZero"/>
        <c:auto val="1"/>
        <c:lblAlgn val="ctr"/>
        <c:lblOffset val="100"/>
        <c:noMultiLvlLbl val="0"/>
      </c:catAx>
      <c:valAx>
        <c:axId val="673522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Profitability (Return) Ratios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"ROA"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rgbClr val="2e5fa3"/>
            </a:solidFill>
            <a:ln w="21960">
              <a:solidFill>
                <a:srgbClr val="2e5fa3"/>
              </a:solidFill>
              <a:round/>
            </a:ln>
          </c:spPr>
          <c:marker>
            <c:symbol val="circle"/>
            <c:size val="6"/>
            <c:spPr>
              <a:solidFill>
                <a:srgbClr val="2e5fa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Analysis'!$C$10:$G$10</c:f>
              <c:numCache>
                <c:formatCode>0.00%</c:formatCode>
                <c:ptCount val="5"/>
                <c:pt idx="0">
                  <c:v>0.0856156927509707</c:v>
                </c:pt>
                <c:pt idx="1">
                  <c:v>0.0855115255588799</c:v>
                </c:pt>
                <c:pt idx="2">
                  <c:v>0.127503936374479</c:v>
                </c:pt>
                <c:pt idx="3">
                  <c:v>0.134627682405413</c:v>
                </c:pt>
                <c:pt idx="4">
                  <c:v>0.129215941252356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c9a227"/>
            </a:solidFill>
            <a:ln w="21960">
              <a:solidFill>
                <a:srgbClr val="c9a227"/>
              </a:solidFill>
              <a:round/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Analysis'!$C$11:$G$11</c:f>
              <c:numCache>
                <c:formatCode>0.00%</c:formatCode>
                <c:ptCount val="5"/>
                <c:pt idx="0">
                  <c:v>0.287303537357719</c:v>
                </c:pt>
                <c:pt idx="1">
                  <c:v>0.272759373091216</c:v>
                </c:pt>
                <c:pt idx="2">
                  <c:v>0.422271609676717</c:v>
                </c:pt>
                <c:pt idx="3">
                  <c:v>0.442745413317843</c:v>
                </c:pt>
                <c:pt idx="4">
                  <c:v>0.454963438238687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"ROCE"</c:f>
              <c:strCache>
                <c:ptCount val="1"/>
                <c:pt idx="0">
                  <c:v>ROCE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circle"/>
            <c:size val="6"/>
            <c:spPr>
              <a:solidFill>
                <a:srgbClr val="2e7d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Analysis'!$C$12:$G$12</c:f>
              <c:numCache>
                <c:formatCode>0.00%</c:formatCode>
                <c:ptCount val="5"/>
                <c:pt idx="0">
                  <c:v>0.143432011720888</c:v>
                </c:pt>
                <c:pt idx="1">
                  <c:v>0.144080244705616</c:v>
                </c:pt>
                <c:pt idx="2">
                  <c:v>0.213288681446867</c:v>
                </c:pt>
                <c:pt idx="3">
                  <c:v>0.219025576776429</c:v>
                </c:pt>
                <c:pt idx="4">
                  <c:v>0.22181780463167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453335"/>
        <c:axId val="58140035"/>
      </c:lineChart>
      <c:catAx>
        <c:axId val="384533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40035"/>
        <c:crosses val="autoZero"/>
        <c:auto val="1"/>
        <c:lblAlgn val="ctr"/>
        <c:lblOffset val="100"/>
        <c:noMultiLvlLbl val="0"/>
      </c:catAx>
      <c:valAx>
        <c:axId val="581400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3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Leverage &amp; Coverage Ratios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"Debt-to-Equity"</c:f>
              <c:strCache>
                <c:ptCount val="1"/>
                <c:pt idx="0">
                  <c:v>Debt-to-Equity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Analysis'!$C$16:$G$16</c:f>
              <c:numCache>
                <c:formatCode>0.00\x</c:formatCode>
                <c:ptCount val="5"/>
                <c:pt idx="0">
                  <c:v>1.38762319561162</c:v>
                </c:pt>
                <c:pt idx="1">
                  <c:v>1.23943985365254</c:v>
                </c:pt>
                <c:pt idx="2">
                  <c:v>1.20911137101771</c:v>
                </c:pt>
                <c:pt idx="3">
                  <c:v>1.20389982364514</c:v>
                </c:pt>
                <c:pt idx="4">
                  <c:v>1.24122616537745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"Interest Coverage"</c:f>
              <c:strCache>
                <c:ptCount val="1"/>
                <c:pt idx="0">
                  <c:v>Interest Coverage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Analysis'!$C$3:$G$3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'Ratio Analysis'!$C$17:$G$17</c:f>
              <c:numCache>
                <c:formatCode>0.00\x</c:formatCode>
                <c:ptCount val="5"/>
                <c:pt idx="0">
                  <c:v>10.4494481236203</c:v>
                </c:pt>
                <c:pt idx="1">
                  <c:v>10.4424549232836</c:v>
                </c:pt>
                <c:pt idx="2">
                  <c:v>14.8656134629584</c:v>
                </c:pt>
                <c:pt idx="3">
                  <c:v>16.7067721938477</c:v>
                </c:pt>
                <c:pt idx="4">
                  <c:v>22.4296831670657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52507"/>
        <c:axId val="82642453"/>
      </c:lineChart>
      <c:catAx>
        <c:axId val="5652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42453"/>
        <c:crosses val="autoZero"/>
        <c:auto val="1"/>
        <c:lblAlgn val="ctr"/>
        <c:lblOffset val="100"/>
        <c:noMultiLvlLbl val="0"/>
      </c:catAx>
      <c:valAx>
        <c:axId val="82642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2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L&amp;T vs NIFTY 50: Weekly Return Regression (Beta)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"Weekly Returns"</c:f>
              <c:strCache>
                <c:ptCount val="1"/>
                <c:pt idx="0">
                  <c:v>Weekly Returns</c:v>
                </c:pt>
              </c:strCache>
            </c:strRef>
          </c:tx>
          <c:spPr>
            <a:solidFill>
              <a:srgbClr val="2e5fa3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e5fa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c0392b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'Beta Calculation'!$E$6:$E$57</c:f>
              <c:numCache>
                <c:formatCode>0.00%</c:formatCode>
                <c:ptCount val="52"/>
                <c:pt idx="0">
                  <c:v>-0.00331376653881676</c:v>
                </c:pt>
                <c:pt idx="1">
                  <c:v>0.0448166878754893</c:v>
                </c:pt>
                <c:pt idx="2">
                  <c:v>0.00786947653516621</c:v>
                </c:pt>
                <c:pt idx="3">
                  <c:v>0.0127852874557757</c:v>
                </c:pt>
                <c:pt idx="4">
                  <c:v>-0.0139115362656952</c:v>
                </c:pt>
                <c:pt idx="5">
                  <c:v>0.0421442852382539</c:v>
                </c:pt>
                <c:pt idx="6">
                  <c:v>-0.00666072470603274</c:v>
                </c:pt>
                <c:pt idx="7">
                  <c:v>-0.00412221388435674</c:v>
                </c:pt>
                <c:pt idx="8">
                  <c:v>0.0101956712335408</c:v>
                </c:pt>
                <c:pt idx="9">
                  <c:v>-0.0113766120533295</c:v>
                </c:pt>
                <c:pt idx="10">
                  <c:v>0.0159313229713658</c:v>
                </c:pt>
                <c:pt idx="11">
                  <c:v>0.0209219349803284</c:v>
                </c:pt>
                <c:pt idx="12">
                  <c:v>-0.00689606752529465</c:v>
                </c:pt>
                <c:pt idx="13">
                  <c:v>-0.0122206511920192</c:v>
                </c:pt>
                <c:pt idx="14">
                  <c:v>-0.00721475475996863</c:v>
                </c:pt>
                <c:pt idx="15">
                  <c:v>-0.0052626519921181</c:v>
                </c:pt>
                <c:pt idx="16">
                  <c:v>-0.010937311269477</c:v>
                </c:pt>
                <c:pt idx="17">
                  <c:v>-0.00822499984734593</c:v>
                </c:pt>
                <c:pt idx="18">
                  <c:v>0.0110001518677683</c:v>
                </c:pt>
                <c:pt idx="19">
                  <c:v>0.00969498158846668</c:v>
                </c:pt>
                <c:pt idx="20">
                  <c:v>-0.0178226062621381</c:v>
                </c:pt>
                <c:pt idx="21">
                  <c:v>0.0128608477965846</c:v>
                </c:pt>
                <c:pt idx="22">
                  <c:v>0.0150761893213694</c:v>
                </c:pt>
                <c:pt idx="23">
                  <c:v>0.00848331607868118</c:v>
                </c:pt>
                <c:pt idx="24">
                  <c:v>-0.0265467158630791</c:v>
                </c:pt>
                <c:pt idx="25">
                  <c:v>0.00971620015656241</c:v>
                </c:pt>
                <c:pt idx="26">
                  <c:v>0.0157104552256043</c:v>
                </c:pt>
                <c:pt idx="27">
                  <c:v>0.0167883774596753</c:v>
                </c:pt>
                <c:pt idx="28">
                  <c:v>0.00331779454178079</c:v>
                </c:pt>
                <c:pt idx="29">
                  <c:v>-0.00283192770734045</c:v>
                </c:pt>
                <c:pt idx="30">
                  <c:v>-0.00893395173799959</c:v>
                </c:pt>
                <c:pt idx="31">
                  <c:v>0.0163873012635188</c:v>
                </c:pt>
                <c:pt idx="32">
                  <c:v>0.00610187938657016</c:v>
                </c:pt>
                <c:pt idx="33">
                  <c:v>0.00517106123756382</c:v>
                </c:pt>
                <c:pt idx="34">
                  <c:v>-0.000629700091020286</c:v>
                </c:pt>
                <c:pt idx="35">
                  <c:v>-0.00532718256961138</c:v>
                </c:pt>
                <c:pt idx="36">
                  <c:v>-0.00309249259510228</c:v>
                </c:pt>
                <c:pt idx="37">
                  <c:v>0.00292300819520603</c:v>
                </c:pt>
                <c:pt idx="38">
                  <c:v>0.0109917326810612</c:v>
                </c:pt>
                <c:pt idx="39">
                  <c:v>-0.024507616256877</c:v>
                </c:pt>
                <c:pt idx="40">
                  <c:v>0.000430240662220169</c:v>
                </c:pt>
                <c:pt idx="41">
                  <c:v>-0.0251300383158164</c:v>
                </c:pt>
                <c:pt idx="42">
                  <c:v>0.0108588686416234</c:v>
                </c:pt>
                <c:pt idx="43">
                  <c:v>0.0147330341045747</c:v>
                </c:pt>
                <c:pt idx="44">
                  <c:v>-0.00866360236166851</c:v>
                </c:pt>
                <c:pt idx="45">
                  <c:v>0.00393190714181961</c:v>
                </c:pt>
                <c:pt idx="46">
                  <c:v>-0.0153531798406413</c:v>
                </c:pt>
                <c:pt idx="47">
                  <c:v>-0.0289213281887631</c:v>
                </c:pt>
                <c:pt idx="48">
                  <c:v>-0.053142171207483</c:v>
                </c:pt>
                <c:pt idx="49">
                  <c:v>-0.00158091840128541</c:v>
                </c:pt>
                <c:pt idx="50">
                  <c:v>-0.0127582253563781</c:v>
                </c:pt>
                <c:pt idx="51">
                  <c:v>-0.0213938894634436</c:v>
                </c:pt>
              </c:numCache>
            </c:numRef>
          </c:xVal>
          <c:yVal>
            <c:numRef>
              <c:f>'Beta Calculation'!$C$6:$C$57</c:f>
              <c:numCache>
                <c:formatCode>0.00%</c:formatCode>
                <c:ptCount val="52"/>
                <c:pt idx="0">
                  <c:v>-0.0442310936613347</c:v>
                </c:pt>
                <c:pt idx="1">
                  <c:v>0.0421540782104977</c:v>
                </c:pt>
                <c:pt idx="2">
                  <c:v>0.00763711391001747</c:v>
                </c:pt>
                <c:pt idx="3">
                  <c:v>0.0176339353931727</c:v>
                </c:pt>
                <c:pt idx="4">
                  <c:v>0.0342663223016397</c:v>
                </c:pt>
                <c:pt idx="5">
                  <c:v>0.0466912511977699</c:v>
                </c:pt>
                <c:pt idx="6">
                  <c:v>-0.00133159486226308</c:v>
                </c:pt>
                <c:pt idx="7">
                  <c:v>0.0208894691519208</c:v>
                </c:pt>
                <c:pt idx="8">
                  <c:v>-0.00511550706103228</c:v>
                </c:pt>
                <c:pt idx="9">
                  <c:v>-0.0188441867461642</c:v>
                </c:pt>
                <c:pt idx="10">
                  <c:v>0.020795004738808</c:v>
                </c:pt>
                <c:pt idx="11">
                  <c:v>0.00469688694702343</c:v>
                </c:pt>
                <c:pt idx="12">
                  <c:v>-0.0229941291585127</c:v>
                </c:pt>
                <c:pt idx="13">
                  <c:v>-0.0150225338007011</c:v>
                </c:pt>
                <c:pt idx="14">
                  <c:v>-0.0214088007682313</c:v>
                </c:pt>
                <c:pt idx="15">
                  <c:v>-0.00632071115215888</c:v>
                </c:pt>
                <c:pt idx="16">
                  <c:v>0.0419413866217433</c:v>
                </c:pt>
                <c:pt idx="17">
                  <c:v>0.00565885206143889</c:v>
                </c:pt>
                <c:pt idx="18">
                  <c:v>0.019237165982925</c:v>
                </c:pt>
                <c:pt idx="19">
                  <c:v>-0.0220832200163176</c:v>
                </c:pt>
                <c:pt idx="20">
                  <c:v>0.00144613159797537</c:v>
                </c:pt>
                <c:pt idx="21">
                  <c:v>-0.0131630102749237</c:v>
                </c:pt>
                <c:pt idx="22">
                  <c:v>0.0073728050427736</c:v>
                </c:pt>
                <c:pt idx="23">
                  <c:v>0.0267054025364545</c:v>
                </c:pt>
                <c:pt idx="24">
                  <c:v>0.0147194863144147</c:v>
                </c:pt>
                <c:pt idx="25">
                  <c:v>0.000965276846762276</c:v>
                </c:pt>
                <c:pt idx="26">
                  <c:v>0.0136347807452252</c:v>
                </c:pt>
                <c:pt idx="27">
                  <c:v>0.0146405919661734</c:v>
                </c:pt>
                <c:pt idx="28">
                  <c:v>0.0170599572849924</c:v>
                </c:pt>
                <c:pt idx="29">
                  <c:v>0.0322671515275679</c:v>
                </c:pt>
                <c:pt idx="30">
                  <c:v>-0.0368155994939096</c:v>
                </c:pt>
                <c:pt idx="31">
                  <c:v>0.0313972955569865</c:v>
                </c:pt>
                <c:pt idx="32">
                  <c:v>0.00511936869443612</c:v>
                </c:pt>
                <c:pt idx="33">
                  <c:v>0.011105865984248</c:v>
                </c:pt>
                <c:pt idx="34">
                  <c:v>-0.00771574601926482</c:v>
                </c:pt>
                <c:pt idx="35">
                  <c:v>0.00889009954930417</c:v>
                </c:pt>
                <c:pt idx="36">
                  <c:v>-0.000147271790088586</c:v>
                </c:pt>
                <c:pt idx="37">
                  <c:v>-0.00643181539216885</c:v>
                </c:pt>
                <c:pt idx="38">
                  <c:v>0.0286857905270179</c:v>
                </c:pt>
                <c:pt idx="39">
                  <c:v>-0.033194024114906</c:v>
                </c:pt>
                <c:pt idx="40">
                  <c:v>-0.0419358044320778</c:v>
                </c:pt>
                <c:pt idx="41">
                  <c:v>-0.029198215952702</c:v>
                </c:pt>
                <c:pt idx="42">
                  <c:v>0.0503499118542657</c:v>
                </c:pt>
                <c:pt idx="43">
                  <c:v>0.0345344963507361</c:v>
                </c:pt>
                <c:pt idx="44">
                  <c:v>0.0260072269609891</c:v>
                </c:pt>
                <c:pt idx="45">
                  <c:v>0.0495220297563432</c:v>
                </c:pt>
                <c:pt idx="46">
                  <c:v>-0.0233529653472128</c:v>
                </c:pt>
                <c:pt idx="47">
                  <c:v>-0.0767828343033448</c:v>
                </c:pt>
                <c:pt idx="48">
                  <c:v>-0.12932300369639</c:v>
                </c:pt>
                <c:pt idx="49">
                  <c:v>-0.0012212852573422</c:v>
                </c:pt>
                <c:pt idx="50">
                  <c:v>0.0376441131943635</c:v>
                </c:pt>
                <c:pt idx="51">
                  <c:v>-0.0168345444852838</c:v>
                </c:pt>
              </c:numCache>
            </c:numRef>
          </c:yVal>
          <c:smooth val="1"/>
        </c:ser>
        <c:axId val="20288772"/>
        <c:axId val="87917137"/>
      </c:scatterChart>
      <c:valAx>
        <c:axId val="2028877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NIFTY 50 Weekly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17137"/>
        <c:crosses val="autoZero"/>
        <c:crossBetween val="midCat"/>
      </c:valAx>
      <c:valAx>
        <c:axId val="87917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L&amp;T Weekly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887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Capital Structure Weights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5fa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2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'Capital Structure &amp; WACC'!$A$18:$A$19</c:f>
              <c:strCache>
                <c:ptCount val="2"/>
                <c:pt idx="0">
                  <c:v>Weight of Equity (We)</c:v>
                </c:pt>
                <c:pt idx="1">
                  <c:v>Weight of Debt (Wd)</c:v>
                </c:pt>
              </c:strCache>
            </c:strRef>
          </c:cat>
          <c:val>
            <c:numRef>
              <c:f>'Capital Structure &amp; WACC'!$B$18:$B$19</c:f>
              <c:numCache>
                <c:formatCode>0.00%</c:formatCode>
                <c:ptCount val="2"/>
                <c:pt idx="0">
                  <c:v>0.86127399783185</c:v>
                </c:pt>
                <c:pt idx="1">
                  <c:v>0.13872600216815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DCF Bridge: FCFF → Enterprise Value → Equity Value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'DCF Valuation'!I17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'DCF Valuation'!$H$18:$H$23</c:f>
              <c:strCache>
                <c:ptCount val="6"/>
                <c:pt idx="0">
                  <c:v>Cumulative PV of FCFF (FY27F-FY31F)</c:v>
                </c:pt>
                <c:pt idx="1">
                  <c:v>PV of Terminal Value</c:v>
                </c:pt>
                <c:pt idx="2">
                  <c:v>Enterprise Value (EV)</c:v>
                </c:pt>
                <c:pt idx="3">
                  <c:v>Less: Total Debt</c:v>
                </c:pt>
                <c:pt idx="4">
                  <c:v>Add: Cash &amp; Equivalents</c:v>
                </c:pt>
                <c:pt idx="5">
                  <c:v>Equity Value</c:v>
                </c:pt>
              </c:strCache>
            </c:strRef>
          </c:cat>
          <c:val>
            <c:numRef>
              <c:f>'DCF Valuation'!$I$18:$I$23</c:f>
              <c:numCache>
                <c:formatCode>General</c:formatCode>
                <c:ptCount val="6"/>
                <c:pt idx="0">
                  <c:v>0</c:v>
                </c:pt>
                <c:pt idx="1">
                  <c:v>202847.013519552</c:v>
                </c:pt>
                <c:pt idx="2">
                  <c:v>0</c:v>
                </c:pt>
                <c:pt idx="3">
                  <c:v>587204.141641651</c:v>
                </c:pt>
                <c:pt idx="4">
                  <c:v>587204.141641651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'DCF Valuation'!J17</c:f>
              <c:strCache>
                <c:ptCount val="1"/>
                <c:pt idx="0">
                  <c:v>Rise</c:v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'DCF Valuation'!$H$18:$H$23</c:f>
              <c:strCache>
                <c:ptCount val="6"/>
                <c:pt idx="0">
                  <c:v>Cumulative PV of FCFF (FY27F-FY31F)</c:v>
                </c:pt>
                <c:pt idx="1">
                  <c:v>PV of Terminal Value</c:v>
                </c:pt>
                <c:pt idx="2">
                  <c:v>Enterprise Value (EV)</c:v>
                </c:pt>
                <c:pt idx="3">
                  <c:v>Less: Total Debt</c:v>
                </c:pt>
                <c:pt idx="4">
                  <c:v>Add: Cash &amp; Equivalents</c:v>
                </c:pt>
                <c:pt idx="5">
                  <c:v>Equity Value</c:v>
                </c:pt>
              </c:strCache>
            </c:strRef>
          </c:cat>
          <c:val>
            <c:numRef>
              <c:f>'DCF Valuation'!$J$18:$J$23</c:f>
              <c:numCache>
                <c:formatCode>#,##0.00</c:formatCode>
                <c:ptCount val="6"/>
                <c:pt idx="0">
                  <c:v>202847.013519552</c:v>
                </c:pt>
                <c:pt idx="1">
                  <c:v>543892.498122098</c:v>
                </c:pt>
                <c:pt idx="2">
                  <c:v>746739.511641651</c:v>
                </c:pt>
                <c:pt idx="3">
                  <c:v>0</c:v>
                </c:pt>
                <c:pt idx="4">
                  <c:v>80372.53</c:v>
                </c:pt>
                <c:pt idx="5">
                  <c:v>667576.671641651</c:v>
                </c:pt>
              </c:numCache>
            </c:numRef>
          </c:val>
        </c:ser>
        <c:ser>
          <c:idx val="2"/>
          <c:order val="2"/>
          <c:tx>
            <c:strRef>
              <c:f>'DCF Valuation'!K17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'DCF Valuation'!$H$18:$H$23</c:f>
              <c:strCache>
                <c:ptCount val="6"/>
                <c:pt idx="0">
                  <c:v>Cumulative PV of FCFF (FY27F-FY31F)</c:v>
                </c:pt>
                <c:pt idx="1">
                  <c:v>PV of Terminal Value</c:v>
                </c:pt>
                <c:pt idx="2">
                  <c:v>Enterprise Value (EV)</c:v>
                </c:pt>
                <c:pt idx="3">
                  <c:v>Less: Total Debt</c:v>
                </c:pt>
                <c:pt idx="4">
                  <c:v>Add: Cash &amp; Equivalents</c:v>
                </c:pt>
                <c:pt idx="5">
                  <c:v>Equity Value</c:v>
                </c:pt>
              </c:strCache>
            </c:strRef>
          </c:cat>
          <c:val>
            <c:numRef>
              <c:f>'DCF Valuation'!$K$18:$K$23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159535.37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30"/>
        <c:overlap val="100"/>
        <c:axId val="73342161"/>
        <c:axId val="28061679"/>
      </c:barChart>
      <c:catAx>
        <c:axId val="733421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1679"/>
        <c:crosses val="autoZero"/>
        <c:auto val="1"/>
        <c:lblAlgn val="ctr"/>
        <c:lblOffset val="100"/>
        <c:noMultiLvlLbl val="0"/>
      </c:catAx>
      <c:valAx>
        <c:axId val="280616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42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to Firm (FCFF)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'DCF Valuation'!$B$4:$F$4</c:f>
              <c:multiLvlStrCache>
                <c:ptCount val="1"/>
                <c:lvl>
                  <c:pt idx="0">
                    <c:v>FY31F</c:v>
                  </c:pt>
                </c:lvl>
                <c:lvl>
                  <c:pt idx="0">
                    <c:v>FY30F</c:v>
                  </c:pt>
                </c:lvl>
                <c:lvl>
                  <c:pt idx="0">
                    <c:v>FY29F</c:v>
                  </c:pt>
                </c:lvl>
                <c:lvl>
                  <c:pt idx="0">
                    <c:v>FY28F</c:v>
                  </c:pt>
                </c:lvl>
                <c:lvl>
                  <c:pt idx="0">
                    <c:v>FY27F</c:v>
                  </c:pt>
                </c:lvl>
              </c:multiLvlStrCache>
            </c:multiLvlStrRef>
          </c:cat>
          <c:val>
            <c:numRef>
              <c:f>'DCF Valuation'!$B$11:$F$11</c:f>
              <c:numCache>
                <c:formatCode>#,##0.00</c:formatCode>
                <c:ptCount val="5"/>
                <c:pt idx="0">
                  <c:v>45120.6724986179</c:v>
                </c:pt>
                <c:pt idx="1">
                  <c:v>52411.5586584595</c:v>
                </c:pt>
                <c:pt idx="2">
                  <c:v>58589.8800189485</c:v>
                </c:pt>
                <c:pt idx="3">
                  <c:v>65540.6983326835</c:v>
                </c:pt>
                <c:pt idx="4">
                  <c:v>73348.0056848576</c:v>
                </c:pt>
              </c:numCache>
            </c:numRef>
          </c:val>
        </c:ser>
        <c:gapWidth val="150"/>
        <c:overlap val="0"/>
        <c:axId val="64917667"/>
        <c:axId val="5683178"/>
      </c:barChart>
      <c:catAx>
        <c:axId val="64917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3178"/>
        <c:crosses val="autoZero"/>
        <c:auto val="1"/>
        <c:lblAlgn val="ctr"/>
        <c:lblOffset val="100"/>
        <c:noMultiLvlLbl val="0"/>
      </c:catAx>
      <c:valAx>
        <c:axId val="5683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17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EV/EBITDA: L&amp;T vs Peer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"EV / EBITDA (x)"</c:f>
              <c:strCache>
                <c:ptCount val="1"/>
                <c:pt idx="0">
                  <c:v>EV / EBITDA (x)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9a22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5fa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e5fa3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e5fa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e5fa3"/>
              </a:solidFill>
              <a:ln w="0">
                <a:noFill/>
              </a:ln>
            </c:spPr>
          </c:dPt>
          <c:dLbls>
            <c:numFmt formatCode="0.00\x" sourceLinked="1"/>
            <c:dLbl>
              <c:idx val="0"/>
              <c:numFmt formatCode="0.00\x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0.00\x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0.00\x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0.00\x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numFmt formatCode="0.00\x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'Comparable Valuation'!$A$5:$A$9</c:f>
              <c:strCache>
                <c:ptCount val="5"/>
                <c:pt idx="0">
                  <c:v>L&amp;T (Subject)</c:v>
                </c:pt>
                <c:pt idx="1">
                  <c:v>Kalpataru Projects (KPIL)</c:v>
                </c:pt>
                <c:pt idx="2">
                  <c:v>KEC International Ltd</c:v>
                </c:pt>
                <c:pt idx="3">
                  <c:v>NCC Limited</c:v>
                </c:pt>
                <c:pt idx="4">
                  <c:v>Rail Vikas Nigam Ltd (RVNL)</c:v>
                </c:pt>
              </c:strCache>
            </c:strRef>
          </c:cat>
          <c:val>
            <c:numRef>
              <c:f>'Comparable Valuation'!$N$5:$N$9</c:f>
              <c:numCache>
                <c:formatCode>0.00\x</c:formatCode>
                <c:ptCount val="5"/>
                <c:pt idx="0">
                  <c:v>15.6692896637235</c:v>
                </c:pt>
                <c:pt idx="1">
                  <c:v>11.9897959183673</c:v>
                </c:pt>
                <c:pt idx="2">
                  <c:v>14.988767366243</c:v>
                </c:pt>
                <c:pt idx="3">
                  <c:v>10.1112368024133</c:v>
                </c:pt>
                <c:pt idx="4">
                  <c:v>61.2903225806452</c:v>
                </c:pt>
              </c:numCache>
            </c:numRef>
          </c:val>
        </c:ser>
        <c:gapWidth val="150"/>
        <c:overlap val="0"/>
        <c:axId val="85728163"/>
        <c:axId val="77495530"/>
      </c:barChart>
      <c:catAx>
        <c:axId val="857281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95530"/>
        <c:crosses val="autoZero"/>
        <c:auto val="1"/>
        <c:lblAlgn val="ctr"/>
        <c:lblOffset val="100"/>
        <c:noMultiLvlLbl val="0"/>
      </c:catAx>
      <c:valAx>
        <c:axId val="774955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281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P/E Ratio: L&amp;T vs Peer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 / E (x)"</c:f>
              <c:strCache>
                <c:ptCount val="1"/>
                <c:pt idx="0">
                  <c:v>P / E (x)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'Comparable Valuation'!$A$5:$A$9</c:f>
              <c:strCache>
                <c:ptCount val="5"/>
                <c:pt idx="0">
                  <c:v>L&amp;T (Subject)</c:v>
                </c:pt>
                <c:pt idx="1">
                  <c:v>Kalpataru Projects (KPIL)</c:v>
                </c:pt>
                <c:pt idx="2">
                  <c:v>KEC International Ltd</c:v>
                </c:pt>
                <c:pt idx="3">
                  <c:v>NCC Limited</c:v>
                </c:pt>
                <c:pt idx="4">
                  <c:v>Rail Vikas Nigam Ltd (RVNL)</c:v>
                </c:pt>
              </c:strCache>
            </c:strRef>
          </c:cat>
          <c:val>
            <c:numRef>
              <c:f>'Comparable Valuation'!$P$5:$P$9</c:f>
              <c:numCache>
                <c:formatCode>0.00\x</c:formatCode>
                <c:ptCount val="5"/>
                <c:pt idx="0">
                  <c:v>16.9378346848127</c:v>
                </c:pt>
                <c:pt idx="1">
                  <c:v>29.6532846715328</c:v>
                </c:pt>
                <c:pt idx="2">
                  <c:v>39.0241071428571</c:v>
                </c:pt>
                <c:pt idx="3">
                  <c:v>24.4222222222222</c:v>
                </c:pt>
                <c:pt idx="4">
                  <c:v>56.5423728813559</c:v>
                </c:pt>
              </c:numCache>
            </c:numRef>
          </c:val>
        </c:ser>
        <c:gapWidth val="150"/>
        <c:overlap val="0"/>
        <c:axId val="5700036"/>
        <c:axId val="51942847"/>
      </c:barChart>
      <c:catAx>
        <c:axId val="5700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42847"/>
        <c:crosses val="autoZero"/>
        <c:auto val="1"/>
        <c:lblAlgn val="ctr"/>
        <c:lblOffset val="100"/>
        <c:noMultiLvlLbl val="0"/>
      </c:catAx>
      <c:valAx>
        <c:axId val="51942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Altman Z-Score Trend (Distress &lt; 1.8 | Grey 1.8–2.99 | Safe &gt; 2.99)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"Altman Z-Score"</c:f>
              <c:strCache>
                <c:ptCount val="1"/>
                <c:pt idx="0">
                  <c:v>Altman Z-Score</c:v>
                </c:pt>
              </c:strCache>
            </c:strRef>
          </c:tx>
          <c:spPr>
            <a:solidFill>
              <a:srgbClr val="1f3864"/>
            </a:solidFill>
            <a:ln w="248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Health Analysis'!$B$6:$F$6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'Financial Health Analysis'!$B$22:$F$22</c:f>
              <c:numCache>
                <c:formatCode>0.00</c:formatCode>
                <c:ptCount val="5"/>
                <c:pt idx="0">
                  <c:v>1.58792415717084</c:v>
                </c:pt>
                <c:pt idx="1">
                  <c:v>1.72094033725695</c:v>
                </c:pt>
                <c:pt idx="2">
                  <c:v>1.84051184952613</c:v>
                </c:pt>
                <c:pt idx="3">
                  <c:v>1.87639929455928</c:v>
                </c:pt>
                <c:pt idx="4">
                  <c:v>1.80647640085596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317149"/>
        <c:axId val="10031983"/>
      </c:lineChart>
      <c:catAx>
        <c:axId val="233171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31983"/>
        <c:crosses val="autoZero"/>
        <c:auto val="1"/>
        <c:lblAlgn val="ctr"/>
        <c:lblOffset val="100"/>
        <c:noMultiLvlLbl val="0"/>
      </c:catAx>
      <c:valAx>
        <c:axId val="10031983"/>
        <c:scaling>
          <c:orientation val="minMax"/>
          <c:max val="3.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Z-Score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17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DuPont ROE Decomposition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Profit Margin"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Health Analysis'!$B$28:$F$28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'Financial Health Analysis'!$B$29:$F$29</c:f>
              <c:numCache>
                <c:formatCode>0.00%</c:formatCode>
                <c:ptCount val="5"/>
                <c:pt idx="0">
                  <c:v>0.17506385555493</c:v>
                </c:pt>
                <c:pt idx="1">
                  <c:v>0.154078881557668</c:v>
                </c:pt>
                <c:pt idx="2">
                  <c:v>0.195844801268709</c:v>
                </c:pt>
                <c:pt idx="3">
                  <c:v>0.199794943543977</c:v>
                </c:pt>
                <c:pt idx="4">
                  <c:v>0.204553706740262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"Asset Turnover"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Health Analysis'!$B$28:$F$28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'Financial Health Analysis'!$B$30:$F$30</c:f>
              <c:numCache>
                <c:formatCode>#,##0.00</c:formatCode>
                <c:ptCount val="5"/>
                <c:pt idx="0">
                  <c:v>0.48905407960758</c:v>
                </c:pt>
                <c:pt idx="1">
                  <c:v>0.554985373040074</c:v>
                </c:pt>
                <c:pt idx="2">
                  <c:v>0.651045805395351</c:v>
                </c:pt>
                <c:pt idx="3">
                  <c:v>0.673829277244844</c:v>
                </c:pt>
                <c:pt idx="4">
                  <c:v>0.631696894236346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"Equity Multiplier"</c:f>
              <c:strCache>
                <c:ptCount val="1"/>
                <c:pt idx="0">
                  <c:v>Equity Multiplier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Health Analysis'!$B$28:$F$28</c:f>
              <c:multiLvlStrCache>
                <c:ptCount val="1"/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</c:multiLvlStrCache>
            </c:multiLvlStrRef>
          </c:cat>
          <c:val>
            <c:numRef>
              <c:f>'Financial Health Analysis'!$B$31:$F$31</c:f>
              <c:numCache>
                <c:formatCode>#,##0.00</c:formatCode>
                <c:ptCount val="5"/>
                <c:pt idx="0">
                  <c:v>3.88372779909052</c:v>
                </c:pt>
                <c:pt idx="1">
                  <c:v>3.69827927942552</c:v>
                </c:pt>
                <c:pt idx="2">
                  <c:v>3.93272613330085</c:v>
                </c:pt>
                <c:pt idx="3">
                  <c:v>3.88635265156325</c:v>
                </c:pt>
                <c:pt idx="4">
                  <c:v>4.14082457832295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257840"/>
        <c:axId val="97552950"/>
      </c:lineChart>
      <c:catAx>
        <c:axId val="182578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52950"/>
        <c:crosses val="autoZero"/>
        <c:auto val="1"/>
        <c:lblAlgn val="ctr"/>
        <c:lblOffset val="100"/>
        <c:noMultiLvlLbl val="0"/>
      </c:catAx>
      <c:valAx>
        <c:axId val="97552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 / Multiplier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57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Field: Valuation Range by Methodology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'Football Field'!G3</c:f>
              <c:strCache>
                <c:ptCount val="1"/>
                <c:pt idx="0">
                  <c:v/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cat>
            <c:strRef>
              <c:f>'Football Field'!$A$4:$A$9</c:f>
              <c:strCache>
                <c:ptCount val="6"/>
                <c:pt idx="0">
                  <c:v>52-Week High / Low Price Range</c:v>
                </c:pt>
                <c:pt idx="1">
                  <c:v>DCF Valuation (Bear Case)</c:v>
                </c:pt>
                <c:pt idx="2">
                  <c:v>DCF Valuation (Base Case)</c:v>
                </c:pt>
                <c:pt idx="3">
                  <c:v>DCF Valuation (Bull Case)</c:v>
                </c:pt>
                <c:pt idx="4">
                  <c:v>Comparable Valuation (EV/EBITDA)</c:v>
                </c:pt>
                <c:pt idx="5">
                  <c:v>Comparable Valuation (P/E)</c:v>
                </c:pt>
              </c:strCache>
            </c:strRef>
          </c:cat>
          <c:val>
            <c:numRef>
              <c:f>'Football Field'!$G$4:$G$9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'Football Field'!H3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cat>
            <c:strRef>
              <c:f>'Football Field'!$A$4:$A$9</c:f>
              <c:strCache>
                <c:ptCount val="6"/>
                <c:pt idx="0">
                  <c:v>52-Week High / Low Price Range</c:v>
                </c:pt>
                <c:pt idx="1">
                  <c:v>DCF Valuation (Bear Case)</c:v>
                </c:pt>
                <c:pt idx="2">
                  <c:v>DCF Valuation (Base Case)</c:v>
                </c:pt>
                <c:pt idx="3">
                  <c:v>DCF Valuation (Bull Case)</c:v>
                </c:pt>
                <c:pt idx="4">
                  <c:v>Comparable Valuation (EV/EBITDA)</c:v>
                </c:pt>
                <c:pt idx="5">
                  <c:v>Comparable Valuation (P/E)</c:v>
                </c:pt>
              </c:strCache>
            </c:strRef>
          </c:cat>
          <c:val>
            <c:numRef>
              <c:f>'Football Field'!$H$4:$H$9</c:f>
              <c:numCache>
                <c:formatCode>General</c:formatCode>
                <c:ptCount val="0"/>
              </c:numCache>
            </c:numRef>
          </c:val>
        </c:ser>
        <c:gapWidth val="150"/>
        <c:overlap val="100"/>
        <c:axId val="55555421"/>
        <c:axId val="75075988"/>
      </c:barChart>
      <c:catAx>
        <c:axId val="555554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75988"/>
        <c:crosses val="autoZero"/>
        <c:auto val="1"/>
        <c:lblAlgn val="ctr"/>
        <c:lblOffset val="100"/>
        <c:noMultiLvlLbl val="0"/>
      </c:catAx>
      <c:valAx>
        <c:axId val="75075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Price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55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9</xdr:col>
      <xdr:colOff>541080</xdr:colOff>
      <xdr:row>18</xdr:row>
      <xdr:rowOff>107280</xdr:rowOff>
    </xdr:to>
    <xdr:graphicFrame>
      <xdr:nvGraphicFramePr>
        <xdr:cNvPr id="0" name="Chart 1"/>
        <xdr:cNvGraphicFramePr/>
      </xdr:nvGraphicFramePr>
      <xdr:xfrm>
        <a:off x="6109200" y="771480"/>
        <a:ext cx="3598920" cy="299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12</xdr:col>
      <xdr:colOff>507600</xdr:colOff>
      <xdr:row>14</xdr:row>
      <xdr:rowOff>49680</xdr:rowOff>
    </xdr:to>
    <xdr:graphicFrame>
      <xdr:nvGraphicFramePr>
        <xdr:cNvPr id="1" name="Chart 1"/>
        <xdr:cNvGraphicFramePr/>
      </xdr:nvGraphicFramePr>
      <xdr:xfrm>
        <a:off x="8505720" y="6192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6</xdr:col>
      <xdr:colOff>825120</xdr:colOff>
      <xdr:row>45</xdr:row>
      <xdr:rowOff>164160</xdr:rowOff>
    </xdr:to>
    <xdr:graphicFrame>
      <xdr:nvGraphicFramePr>
        <xdr:cNvPr id="2" name="Chart 1"/>
        <xdr:cNvGraphicFramePr/>
      </xdr:nvGraphicFramePr>
      <xdr:xfrm>
        <a:off x="2819520" y="5743440"/>
        <a:ext cx="5758920" cy="302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0</xdr:rowOff>
    </xdr:from>
    <xdr:to>
      <xdr:col>6</xdr:col>
      <xdr:colOff>824760</xdr:colOff>
      <xdr:row>67</xdr:row>
      <xdr:rowOff>164520</xdr:rowOff>
    </xdr:to>
    <xdr:graphicFrame>
      <xdr:nvGraphicFramePr>
        <xdr:cNvPr id="3" name="Chart 1"/>
        <xdr:cNvGraphicFramePr/>
      </xdr:nvGraphicFramePr>
      <xdr:xfrm>
        <a:off x="2960280" y="10058400"/>
        <a:ext cx="5758920" cy="302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13</xdr:col>
      <xdr:colOff>589680</xdr:colOff>
      <xdr:row>67</xdr:row>
      <xdr:rowOff>11520</xdr:rowOff>
    </xdr:to>
    <xdr:graphicFrame>
      <xdr:nvGraphicFramePr>
        <xdr:cNvPr id="4" name="Chart 2"/>
        <xdr:cNvGraphicFramePr/>
      </xdr:nvGraphicFramePr>
      <xdr:xfrm>
        <a:off x="8881200" y="986796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6</xdr:col>
      <xdr:colOff>825120</xdr:colOff>
      <xdr:row>38</xdr:row>
      <xdr:rowOff>164520</xdr:rowOff>
    </xdr:to>
    <xdr:graphicFrame>
      <xdr:nvGraphicFramePr>
        <xdr:cNvPr id="5" name="Chart 1"/>
        <xdr:cNvGraphicFramePr/>
      </xdr:nvGraphicFramePr>
      <xdr:xfrm>
        <a:off x="3171960" y="4629240"/>
        <a:ext cx="5758920" cy="302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6</xdr:col>
      <xdr:colOff>825120</xdr:colOff>
      <xdr:row>38</xdr:row>
      <xdr:rowOff>164160</xdr:rowOff>
    </xdr:to>
    <xdr:graphicFrame>
      <xdr:nvGraphicFramePr>
        <xdr:cNvPr id="6" name="Chart 1"/>
        <xdr:cNvGraphicFramePr/>
      </xdr:nvGraphicFramePr>
      <xdr:xfrm>
        <a:off x="2819520" y="4562640"/>
        <a:ext cx="5758920" cy="302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7</xdr:col>
      <xdr:colOff>213480</xdr:colOff>
      <xdr:row>40</xdr:row>
      <xdr:rowOff>164520</xdr:rowOff>
    </xdr:to>
    <xdr:graphicFrame>
      <xdr:nvGraphicFramePr>
        <xdr:cNvPr id="7" name="Chart 1"/>
        <xdr:cNvGraphicFramePr/>
      </xdr:nvGraphicFramePr>
      <xdr:xfrm>
        <a:off x="2678400" y="4943520"/>
        <a:ext cx="5758920" cy="302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3</xdr:col>
      <xdr:colOff>513000</xdr:colOff>
      <xdr:row>35</xdr:row>
      <xdr:rowOff>164160</xdr:rowOff>
    </xdr:to>
    <xdr:graphicFrame>
      <xdr:nvGraphicFramePr>
        <xdr:cNvPr id="8" name="Chart 1"/>
        <xdr:cNvGraphicFramePr/>
      </xdr:nvGraphicFramePr>
      <xdr:xfrm>
        <a:off x="2467080" y="4133880"/>
        <a:ext cx="4318920" cy="302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16</xdr:col>
      <xdr:colOff>38520</xdr:colOff>
      <xdr:row>35</xdr:row>
      <xdr:rowOff>164160</xdr:rowOff>
    </xdr:to>
    <xdr:graphicFrame>
      <xdr:nvGraphicFramePr>
        <xdr:cNvPr id="9" name="Chart 2"/>
        <xdr:cNvGraphicFramePr/>
      </xdr:nvGraphicFramePr>
      <xdr:xfrm>
        <a:off x="14356080" y="4133880"/>
        <a:ext cx="4318920" cy="302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606600</xdr:colOff>
      <xdr:row>51</xdr:row>
      <xdr:rowOff>22320</xdr:rowOff>
    </xdr:to>
    <xdr:graphicFrame>
      <xdr:nvGraphicFramePr>
        <xdr:cNvPr id="10" name="Chart 3"/>
        <xdr:cNvGraphicFramePr/>
      </xdr:nvGraphicFramePr>
      <xdr:xfrm>
        <a:off x="2467080" y="7182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20</xdr:col>
      <xdr:colOff>255240</xdr:colOff>
      <xdr:row>17</xdr:row>
      <xdr:rowOff>107280</xdr:rowOff>
    </xdr:to>
    <xdr:graphicFrame>
      <xdr:nvGraphicFramePr>
        <xdr:cNvPr id="11" name="Chart 1"/>
        <xdr:cNvGraphicFramePr/>
      </xdr:nvGraphicFramePr>
      <xdr:xfrm>
        <a:off x="13298760" y="657360"/>
        <a:ext cx="5758920" cy="315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9</xdr:col>
      <xdr:colOff>541440</xdr:colOff>
      <xdr:row>18</xdr:row>
      <xdr:rowOff>97920</xdr:rowOff>
    </xdr:to>
    <xdr:graphicFrame>
      <xdr:nvGraphicFramePr>
        <xdr:cNvPr id="12" name="Chart 1"/>
        <xdr:cNvGraphicFramePr/>
      </xdr:nvGraphicFramePr>
      <xdr:xfrm>
        <a:off x="7730640" y="666720"/>
        <a:ext cx="3598920" cy="300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6</xdr:col>
      <xdr:colOff>840240</xdr:colOff>
      <xdr:row>45</xdr:row>
      <xdr:rowOff>97560</xdr:rowOff>
    </xdr:to>
    <xdr:graphicFrame>
      <xdr:nvGraphicFramePr>
        <xdr:cNvPr id="13" name="Chart 1"/>
        <xdr:cNvGraphicFramePr/>
      </xdr:nvGraphicFramePr>
      <xdr:xfrm>
        <a:off x="2819520" y="5915160"/>
        <a:ext cx="6478920" cy="300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13</xdr:col>
      <xdr:colOff>229320</xdr:colOff>
      <xdr:row>17</xdr:row>
      <xdr:rowOff>87840</xdr:rowOff>
    </xdr:to>
    <xdr:graphicFrame>
      <xdr:nvGraphicFramePr>
        <xdr:cNvPr id="14" name="Chart 2"/>
        <xdr:cNvGraphicFramePr/>
      </xdr:nvGraphicFramePr>
      <xdr:xfrm>
        <a:off x="9444960" y="466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7</xdr:col>
      <xdr:colOff>261000</xdr:colOff>
      <xdr:row>43</xdr:row>
      <xdr:rowOff>162360</xdr:rowOff>
    </xdr:to>
    <xdr:graphicFrame>
      <xdr:nvGraphicFramePr>
        <xdr:cNvPr id="15" name="Chart 1"/>
        <xdr:cNvGraphicFramePr/>
      </xdr:nvGraphicFramePr>
      <xdr:xfrm>
        <a:off x="1973520" y="5343480"/>
        <a:ext cx="5758920" cy="340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13</xdr:col>
      <xdr:colOff>606600</xdr:colOff>
      <xdr:row>41</xdr:row>
      <xdr:rowOff>11520</xdr:rowOff>
    </xdr:to>
    <xdr:graphicFrame>
      <xdr:nvGraphicFramePr>
        <xdr:cNvPr id="16" name="Chart 2"/>
        <xdr:cNvGraphicFramePr/>
      </xdr:nvGraphicFramePr>
      <xdr:xfrm>
        <a:off x="8458200" y="5153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7</xdr:col>
      <xdr:colOff>213480</xdr:colOff>
      <xdr:row>49</xdr:row>
      <xdr:rowOff>164160</xdr:rowOff>
    </xdr:to>
    <xdr:graphicFrame>
      <xdr:nvGraphicFramePr>
        <xdr:cNvPr id="17" name="Chart 1"/>
        <xdr:cNvGraphicFramePr/>
      </xdr:nvGraphicFramePr>
      <xdr:xfrm>
        <a:off x="2678400" y="6696000"/>
        <a:ext cx="5758920" cy="302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33</xdr:row>
      <xdr:rowOff>0</xdr:rowOff>
    </xdr:from>
    <xdr:to>
      <xdr:col>16</xdr:col>
      <xdr:colOff>507600</xdr:colOff>
      <xdr:row>49</xdr:row>
      <xdr:rowOff>11520</xdr:rowOff>
    </xdr:to>
    <xdr:graphicFrame>
      <xdr:nvGraphicFramePr>
        <xdr:cNvPr id="18" name="Chart 2"/>
        <xdr:cNvGraphicFramePr/>
      </xdr:nvGraphicFramePr>
      <xdr:xfrm>
        <a:off x="8835480" y="6505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4</xdr:col>
      <xdr:colOff>2390760</xdr:colOff>
      <xdr:row>28</xdr:row>
      <xdr:rowOff>162360</xdr:rowOff>
    </xdr:to>
    <xdr:graphicFrame>
      <xdr:nvGraphicFramePr>
        <xdr:cNvPr id="19" name="Chart 1"/>
        <xdr:cNvGraphicFramePr/>
      </xdr:nvGraphicFramePr>
      <xdr:xfrm>
        <a:off x="2678400" y="2581200"/>
        <a:ext cx="6478920" cy="340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27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  <c r="C5" s="6"/>
    </row>
    <row r="6" customFormat="false" ht="15" hidden="false" customHeight="false" outlineLevel="0" collapsed="false">
      <c r="A6" s="4" t="s">
        <v>5</v>
      </c>
      <c r="B6" s="5" t="s">
        <v>6</v>
      </c>
      <c r="C6" s="6"/>
    </row>
    <row r="7" customFormat="false" ht="15" hidden="false" customHeight="false" outlineLevel="0" collapsed="false">
      <c r="A7" s="4" t="s">
        <v>7</v>
      </c>
      <c r="B7" s="5" t="s">
        <v>8</v>
      </c>
      <c r="C7" s="6"/>
    </row>
    <row r="8" customFormat="false" ht="15" hidden="false" customHeight="false" outlineLevel="0" collapsed="false">
      <c r="A8" s="4" t="s">
        <v>9</v>
      </c>
      <c r="B8" s="5" t="s">
        <v>10</v>
      </c>
      <c r="C8" s="6"/>
    </row>
    <row r="9" customFormat="false" ht="15" hidden="false" customHeight="false" outlineLevel="0" collapsed="false">
      <c r="A9" s="4" t="s">
        <v>11</v>
      </c>
      <c r="B9" s="5" t="n">
        <v>3600</v>
      </c>
      <c r="C9" s="6"/>
    </row>
    <row r="10" customFormat="false" ht="15" hidden="false" customHeight="false" outlineLevel="0" collapsed="false">
      <c r="A10" s="4" t="s">
        <v>12</v>
      </c>
      <c r="B10" s="5" t="n">
        <v>275.13</v>
      </c>
      <c r="C10" s="6"/>
    </row>
    <row r="11" customFormat="false" ht="15" hidden="false" customHeight="false" outlineLevel="0" collapsed="false">
      <c r="A11" s="4" t="s">
        <v>13</v>
      </c>
      <c r="B11" s="5" t="n">
        <f aca="false">B9*B10</f>
        <v>990468</v>
      </c>
      <c r="C11" s="6"/>
    </row>
    <row r="13" customFormat="false" ht="15.75" hidden="false" customHeight="true" outlineLevel="0" collapsed="false">
      <c r="A13" s="3" t="s">
        <v>14</v>
      </c>
      <c r="B13" s="3"/>
      <c r="C13" s="3"/>
    </row>
    <row r="14" customFormat="false" ht="15" hidden="false" customHeight="false" outlineLevel="0" collapsed="false">
      <c r="A14" s="4" t="s">
        <v>15</v>
      </c>
      <c r="B14" s="7" t="s">
        <v>16</v>
      </c>
      <c r="C14" s="6" t="s">
        <v>17</v>
      </c>
    </row>
    <row r="15" customFormat="false" ht="15" hidden="false" customHeight="false" outlineLevel="0" collapsed="false">
      <c r="A15" s="4" t="s">
        <v>18</v>
      </c>
      <c r="B15" s="5" t="n">
        <f aca="false">'Balance Sheet'!F47</f>
        <v>159535.37</v>
      </c>
      <c r="C15" s="6" t="n">
        <f aca="false">B15/B17</f>
        <v>0.553815667758998</v>
      </c>
    </row>
    <row r="16" customFormat="false" ht="15" hidden="false" customHeight="false" outlineLevel="0" collapsed="false">
      <c r="A16" s="4" t="s">
        <v>19</v>
      </c>
      <c r="B16" s="5" t="n">
        <f aca="false">'Balance Sheet'!F10</f>
        <v>128530.46</v>
      </c>
      <c r="C16" s="6" t="n">
        <f aca="false">B16/B17</f>
        <v>0.446184332241002</v>
      </c>
    </row>
    <row r="17" customFormat="false" ht="15" hidden="false" customHeight="false" outlineLevel="0" collapsed="false">
      <c r="A17" s="4" t="s">
        <v>20</v>
      </c>
      <c r="B17" s="5" t="n">
        <f aca="false">B15+B16</f>
        <v>288065.83</v>
      </c>
      <c r="C17" s="6" t="n">
        <v>1</v>
      </c>
    </row>
    <row r="18" customFormat="false" ht="15.75" hidden="false" customHeight="true" outlineLevel="0" collapsed="false">
      <c r="A18" s="3"/>
      <c r="B18" s="3"/>
      <c r="C18" s="3"/>
    </row>
    <row r="19" customFormat="false" ht="15" hidden="false" customHeight="false" outlineLevel="0" collapsed="false">
      <c r="A19" s="4" t="s">
        <v>21</v>
      </c>
    </row>
    <row r="20" customFormat="false" ht="15" hidden="false" customHeight="false" outlineLevel="0" collapsed="false">
      <c r="A20" s="4" t="s">
        <v>22</v>
      </c>
      <c r="B20" s="7" t="s">
        <v>23</v>
      </c>
      <c r="C20" s="6" t="s">
        <v>24</v>
      </c>
    </row>
    <row r="21" customFormat="false" ht="15" hidden="false" customHeight="false" outlineLevel="0" collapsed="false">
      <c r="A21" s="4" t="s">
        <v>25</v>
      </c>
      <c r="B21" s="5" t="n">
        <f aca="false">'DCF Valuation'!B26</f>
        <v>2426.40450565787</v>
      </c>
      <c r="C21" s="6" t="n">
        <f aca="false">(B21-B9)/B9</f>
        <v>-0.325998748428369</v>
      </c>
    </row>
    <row r="22" customFormat="false" ht="15" hidden="false" customHeight="false" outlineLevel="0" collapsed="false">
      <c r="A22" s="4" t="s">
        <v>26</v>
      </c>
      <c r="B22" s="5" t="n">
        <f aca="false">'Comparable Valuation'!B24</f>
        <v>3059.11523292582</v>
      </c>
      <c r="C22" s="6" t="n">
        <f aca="false">(B22-B9)/B9</f>
        <v>-0.150245768631717</v>
      </c>
    </row>
    <row r="23" customFormat="false" ht="15.75" hidden="false" customHeight="true" outlineLevel="0" collapsed="false">
      <c r="A23" s="3"/>
      <c r="B23" s="3"/>
      <c r="C23" s="3"/>
    </row>
    <row r="24" customFormat="false" ht="15" hidden="false" customHeight="false" outlineLevel="0" collapsed="false">
      <c r="A24" s="4" t="s">
        <v>27</v>
      </c>
    </row>
    <row r="25" customFormat="false" ht="15" hidden="false" customHeight="false" outlineLevel="0" collapsed="false">
      <c r="A25" s="4" t="s">
        <v>28</v>
      </c>
      <c r="B25" s="5" t="s">
        <v>29</v>
      </c>
      <c r="C25" s="6"/>
    </row>
    <row r="26" customFormat="false" ht="15" hidden="false" customHeight="false" outlineLevel="0" collapsed="false">
      <c r="A26" s="4" t="s">
        <v>30</v>
      </c>
      <c r="B26" s="5" t="s">
        <v>31</v>
      </c>
      <c r="C26" s="6"/>
    </row>
    <row r="27" customFormat="false" ht="15" hidden="false" customHeight="false" outlineLevel="0" collapsed="false">
      <c r="A27" s="4" t="s">
        <v>32</v>
      </c>
      <c r="B27" s="5" t="s">
        <v>33</v>
      </c>
      <c r="C27" s="6"/>
    </row>
    <row r="28" customFormat="false" ht="15" hidden="false" customHeight="false" outlineLevel="0" collapsed="false">
      <c r="A28" s="4" t="s">
        <v>34</v>
      </c>
      <c r="B28" s="5" t="s">
        <v>35</v>
      </c>
      <c r="C28" s="6"/>
    </row>
    <row r="29" customFormat="false" ht="15" hidden="false" customHeight="false" outlineLevel="0" collapsed="false">
      <c r="A29" s="4" t="s">
        <v>36</v>
      </c>
      <c r="B29" s="5" t="s">
        <v>37</v>
      </c>
      <c r="C29" s="6"/>
    </row>
    <row r="30" customFormat="false" ht="15" hidden="false" customHeight="false" outlineLevel="0" collapsed="false">
      <c r="A30" s="4" t="s">
        <v>38</v>
      </c>
      <c r="B30" s="5" t="s">
        <v>39</v>
      </c>
      <c r="C30" s="6"/>
    </row>
    <row r="31" customFormat="false" ht="15" hidden="false" customHeight="false" outlineLevel="0" collapsed="false">
      <c r="A31" s="4" t="s">
        <v>40</v>
      </c>
      <c r="B31" s="5" t="s">
        <v>41</v>
      </c>
      <c r="C31" s="6"/>
    </row>
    <row r="32" customFormat="false" ht="15" hidden="false" customHeight="false" outlineLevel="0" collapsed="false">
      <c r="A32" s="4" t="s">
        <v>42</v>
      </c>
      <c r="B32" s="5" t="s">
        <v>43</v>
      </c>
      <c r="C32" s="6"/>
    </row>
    <row r="33" customFormat="false" ht="15" hidden="false" customHeight="false" outlineLevel="0" collapsed="false">
      <c r="A33" s="4" t="s">
        <v>44</v>
      </c>
      <c r="B33" s="5" t="s">
        <v>45</v>
      </c>
      <c r="C33" s="6"/>
    </row>
    <row r="34" customFormat="false" ht="15" hidden="false" customHeight="false" outlineLevel="0" collapsed="false">
      <c r="A34" s="4" t="s">
        <v>46</v>
      </c>
      <c r="B34" s="5" t="s">
        <v>47</v>
      </c>
      <c r="C34" s="6"/>
    </row>
    <row r="35" customFormat="false" ht="15" hidden="false" customHeight="false" outlineLevel="0" collapsed="false">
      <c r="A35" s="4" t="s">
        <v>48</v>
      </c>
      <c r="B35" s="5" t="s">
        <v>49</v>
      </c>
      <c r="C35" s="6"/>
    </row>
    <row r="36" customFormat="false" ht="15" hidden="false" customHeight="false" outlineLevel="0" collapsed="false">
      <c r="A36" s="4" t="s">
        <v>50</v>
      </c>
      <c r="B36" s="5" t="s">
        <v>51</v>
      </c>
      <c r="C36" s="6"/>
    </row>
    <row r="37" customFormat="false" ht="15" hidden="false" customHeight="false" outlineLevel="0" collapsed="false">
      <c r="A37" s="4" t="s">
        <v>52</v>
      </c>
      <c r="B37" s="5" t="s">
        <v>53</v>
      </c>
      <c r="C37" s="6"/>
    </row>
    <row r="38" customFormat="false" ht="15" hidden="false" customHeight="false" outlineLevel="0" collapsed="false">
      <c r="A38" s="4" t="s">
        <v>54</v>
      </c>
      <c r="B38" s="5" t="s">
        <v>55</v>
      </c>
      <c r="C38" s="6"/>
    </row>
    <row r="39" customFormat="false" ht="15" hidden="false" customHeight="false" outlineLevel="0" collapsed="false">
      <c r="A39" s="4" t="s">
        <v>56</v>
      </c>
      <c r="B39" s="5" t="s">
        <v>57</v>
      </c>
      <c r="C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.14"/>
    <col collapsed="false" customWidth="true" hidden="false" outlineLevel="0" max="2" min="2" style="0" width="6.85"/>
    <col collapsed="false" customWidth="true" hidden="false" outlineLevel="0" max="3" min="3" style="0" width="60"/>
  </cols>
  <sheetData>
    <row r="1" customFormat="false" ht="18.75" hidden="false" customHeight="true" outlineLevel="0" collapsed="false">
      <c r="A1" s="8" t="s">
        <v>58</v>
      </c>
    </row>
    <row r="3" customFormat="false" ht="15" hidden="false" customHeight="false" outlineLevel="0" collapsed="false">
      <c r="A3" s="9" t="s">
        <v>59</v>
      </c>
      <c r="B3" s="9" t="s">
        <v>60</v>
      </c>
      <c r="C3" s="9" t="s">
        <v>61</v>
      </c>
    </row>
    <row r="4" customFormat="false" ht="15" hidden="false" customHeight="false" outlineLevel="0" collapsed="false">
      <c r="A4" s="3" t="s">
        <v>62</v>
      </c>
      <c r="B4" s="3"/>
      <c r="C4" s="3"/>
    </row>
    <row r="5" customFormat="false" ht="24" hidden="false" customHeight="true" outlineLevel="0" collapsed="false">
      <c r="A5" s="4" t="s">
        <v>63</v>
      </c>
      <c r="B5" s="7" t="n">
        <v>0.12</v>
      </c>
      <c r="C5" s="10" t="s">
        <v>64</v>
      </c>
    </row>
    <row r="6" customFormat="false" ht="24" hidden="false" customHeight="true" outlineLevel="0" collapsed="false">
      <c r="A6" s="4" t="s">
        <v>65</v>
      </c>
      <c r="B6" s="7" t="n">
        <v>0.15</v>
      </c>
      <c r="C6" s="10" t="s">
        <v>66</v>
      </c>
    </row>
    <row r="7" customFormat="false" ht="24" hidden="false" customHeight="true" outlineLevel="0" collapsed="false">
      <c r="A7" s="4" t="s">
        <v>67</v>
      </c>
      <c r="B7" s="7" t="n">
        <v>0.09</v>
      </c>
      <c r="C7" s="10" t="s">
        <v>68</v>
      </c>
    </row>
    <row r="8" customFormat="false" ht="15" hidden="false" customHeight="false" outlineLevel="0" collapsed="false">
      <c r="A8" s="3" t="s">
        <v>69</v>
      </c>
      <c r="B8" s="3"/>
      <c r="C8" s="3"/>
    </row>
    <row r="9" customFormat="false" ht="24" hidden="false" customHeight="true" outlineLevel="0" collapsed="false">
      <c r="A9" s="4" t="s">
        <v>70</v>
      </c>
      <c r="B9" s="7" t="n">
        <v>0.535</v>
      </c>
      <c r="C9" s="10" t="s">
        <v>71</v>
      </c>
    </row>
    <row r="10" customFormat="false" ht="24" hidden="false" customHeight="true" outlineLevel="0" collapsed="false">
      <c r="A10" s="4" t="s">
        <v>72</v>
      </c>
      <c r="B10" s="7" t="n">
        <v>0.18</v>
      </c>
      <c r="C10" s="10" t="s">
        <v>73</v>
      </c>
    </row>
    <row r="11" customFormat="false" ht="24" hidden="false" customHeight="true" outlineLevel="0" collapsed="false">
      <c r="A11" s="4" t="s">
        <v>74</v>
      </c>
      <c r="B11" s="7" t="n">
        <v>0.04</v>
      </c>
      <c r="C11" s="10" t="s">
        <v>75</v>
      </c>
    </row>
    <row r="12" customFormat="false" ht="24" hidden="false" customHeight="true" outlineLevel="0" collapsed="false">
      <c r="A12" s="4" t="s">
        <v>76</v>
      </c>
      <c r="B12" s="7" t="n">
        <v>0.02</v>
      </c>
      <c r="C12" s="10" t="s">
        <v>77</v>
      </c>
    </row>
    <row r="13" customFormat="false" ht="15" hidden="false" customHeight="false" outlineLevel="0" collapsed="false">
      <c r="A13" s="4" t="s">
        <v>78</v>
      </c>
      <c r="B13" s="7" t="n">
        <v>0.25</v>
      </c>
      <c r="C13" s="10" t="s">
        <v>79</v>
      </c>
    </row>
    <row r="14" customFormat="false" ht="24" hidden="false" customHeight="true" outlineLevel="0" collapsed="false">
      <c r="A14" s="4" t="s">
        <v>80</v>
      </c>
      <c r="B14" s="7" t="n">
        <v>0.2517</v>
      </c>
      <c r="C14" s="10" t="s">
        <v>81</v>
      </c>
    </row>
    <row r="15" customFormat="false" ht="15" hidden="false" customHeight="false" outlineLevel="0" collapsed="false">
      <c r="A15" s="3" t="s">
        <v>82</v>
      </c>
      <c r="B15" s="3"/>
      <c r="C15" s="3"/>
    </row>
    <row r="16" customFormat="false" ht="15" hidden="false" customHeight="false" outlineLevel="0" collapsed="false">
      <c r="A16" s="4" t="s">
        <v>83</v>
      </c>
      <c r="B16" s="11" t="n">
        <v>77</v>
      </c>
      <c r="C16" s="10" t="s">
        <v>84</v>
      </c>
    </row>
    <row r="17" customFormat="false" ht="15" hidden="false" customHeight="false" outlineLevel="0" collapsed="false">
      <c r="A17" s="4" t="s">
        <v>85</v>
      </c>
      <c r="B17" s="11" t="n">
        <v>12</v>
      </c>
      <c r="C17" s="10" t="s">
        <v>86</v>
      </c>
    </row>
    <row r="18" customFormat="false" ht="15" hidden="false" customHeight="false" outlineLevel="0" collapsed="false">
      <c r="A18" s="4" t="s">
        <v>87</v>
      </c>
      <c r="B18" s="11" t="n">
        <v>86</v>
      </c>
      <c r="C18" s="10" t="s">
        <v>88</v>
      </c>
    </row>
    <row r="19" customFormat="false" ht="15" hidden="false" customHeight="false" outlineLevel="0" collapsed="false">
      <c r="A19" s="3" t="s">
        <v>89</v>
      </c>
      <c r="B19" s="3"/>
      <c r="C19" s="3"/>
    </row>
    <row r="20" customFormat="false" ht="24" hidden="false" customHeight="true" outlineLevel="0" collapsed="false">
      <c r="A20" s="4" t="s">
        <v>90</v>
      </c>
      <c r="B20" s="7" t="n">
        <v>0.045</v>
      </c>
      <c r="C20" s="10" t="s">
        <v>91</v>
      </c>
    </row>
    <row r="21" customFormat="false" ht="24" hidden="false" customHeight="true" outlineLevel="0" collapsed="false">
      <c r="A21" s="4" t="s">
        <v>92</v>
      </c>
      <c r="B21" s="7" t="n">
        <v>0.28</v>
      </c>
      <c r="C21" s="10" t="s">
        <v>93</v>
      </c>
    </row>
    <row r="22" customFormat="false" ht="15" hidden="false" customHeight="false" outlineLevel="0" collapsed="false">
      <c r="A22" s="3" t="s">
        <v>94</v>
      </c>
      <c r="B22" s="3"/>
      <c r="C22" s="3"/>
    </row>
    <row r="23" customFormat="false" ht="15" hidden="false" customHeight="false" outlineLevel="0" collapsed="false">
      <c r="A23" s="4" t="s">
        <v>95</v>
      </c>
      <c r="B23" s="7" t="n">
        <v>0.3</v>
      </c>
      <c r="C23" s="10" t="s">
        <v>96</v>
      </c>
    </row>
    <row r="24" customFormat="false" ht="15" hidden="false" customHeight="false" outlineLevel="0" collapsed="false">
      <c r="A24" s="4" t="s">
        <v>97</v>
      </c>
      <c r="B24" s="7" t="n">
        <v>0.7</v>
      </c>
      <c r="C24" s="10" t="s">
        <v>98</v>
      </c>
    </row>
    <row r="25" customFormat="false" ht="24" hidden="false" customHeight="true" outlineLevel="0" collapsed="false">
      <c r="A25" s="4" t="s">
        <v>99</v>
      </c>
      <c r="B25" s="7" t="n">
        <v>0.08</v>
      </c>
      <c r="C25" s="10" t="s">
        <v>100</v>
      </c>
    </row>
    <row r="26" customFormat="false" ht="24" hidden="false" customHeight="true" outlineLevel="0" collapsed="false">
      <c r="A26" s="4" t="s">
        <v>101</v>
      </c>
      <c r="B26" s="7" t="n">
        <v>0.078</v>
      </c>
      <c r="C26" s="10" t="s">
        <v>102</v>
      </c>
    </row>
    <row r="27" customFormat="false" ht="15" hidden="false" customHeight="false" outlineLevel="0" collapsed="false">
      <c r="A27" s="3" t="s">
        <v>103</v>
      </c>
      <c r="B27" s="3"/>
      <c r="C27" s="3"/>
    </row>
    <row r="28" customFormat="false" ht="24" hidden="false" customHeight="true" outlineLevel="0" collapsed="false">
      <c r="A28" s="4" t="s">
        <v>104</v>
      </c>
      <c r="B28" s="7" t="n">
        <v>0.071</v>
      </c>
      <c r="C28" s="10" t="s">
        <v>105</v>
      </c>
    </row>
    <row r="29" customFormat="false" ht="15" hidden="false" customHeight="false" outlineLevel="0" collapsed="false">
      <c r="A29" s="4" t="s">
        <v>106</v>
      </c>
      <c r="B29" s="7" t="n">
        <v>0.06</v>
      </c>
      <c r="C29" s="10" t="s">
        <v>107</v>
      </c>
    </row>
    <row r="30" customFormat="false" ht="15" hidden="false" customHeight="false" outlineLevel="0" collapsed="false">
      <c r="A30" s="3" t="s">
        <v>108</v>
      </c>
      <c r="B30" s="3"/>
      <c r="C30" s="3"/>
    </row>
    <row r="31" customFormat="false" ht="24" hidden="false" customHeight="true" outlineLevel="0" collapsed="false">
      <c r="A31" s="4" t="s">
        <v>109</v>
      </c>
      <c r="B31" s="7" t="n">
        <v>0.05</v>
      </c>
      <c r="C31" s="10" t="s">
        <v>110</v>
      </c>
    </row>
    <row r="32" customFormat="false" ht="24" hidden="false" customHeight="true" outlineLevel="0" collapsed="false">
      <c r="A32" s="4" t="s">
        <v>111</v>
      </c>
      <c r="B32" s="7" t="n">
        <v>0.4</v>
      </c>
      <c r="C32" s="1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4"/>
  </cols>
  <sheetData>
    <row r="1" customFormat="false" ht="24" hidden="false" customHeight="true" outlineLevel="0" collapsed="false">
      <c r="A1" s="8" t="s">
        <v>113</v>
      </c>
    </row>
    <row r="3" customFormat="false" ht="18" hidden="false" customHeight="true" outlineLevel="0" collapsed="false">
      <c r="A3" s="9" t="s">
        <v>114</v>
      </c>
      <c r="B3" s="12" t="s">
        <v>115</v>
      </c>
      <c r="C3" s="12" t="s">
        <v>116</v>
      </c>
      <c r="D3" s="12" t="s">
        <v>117</v>
      </c>
      <c r="E3" s="12" t="s">
        <v>118</v>
      </c>
      <c r="F3" s="12" t="s">
        <v>119</v>
      </c>
      <c r="G3" s="12" t="s">
        <v>120</v>
      </c>
      <c r="H3" s="12" t="s">
        <v>121</v>
      </c>
      <c r="I3" s="12" t="s">
        <v>122</v>
      </c>
      <c r="J3" s="12" t="s">
        <v>123</v>
      </c>
      <c r="K3" s="12" t="s">
        <v>124</v>
      </c>
    </row>
    <row r="4" customFormat="false" ht="15.75" hidden="false" customHeight="true" outlineLevel="0" collapsed="false">
      <c r="A4" s="3" t="s">
        <v>125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A5" s="4" t="s">
        <v>126</v>
      </c>
      <c r="B5" s="14" t="n">
        <v>156521.23</v>
      </c>
      <c r="C5" s="14" t="n">
        <v>183340.7</v>
      </c>
      <c r="D5" s="14" t="n">
        <v>221112.89</v>
      </c>
      <c r="E5" s="14" t="n">
        <v>255734.45</v>
      </c>
      <c r="F5" s="14" t="n">
        <v>285874.36</v>
      </c>
      <c r="G5" s="15" t="n">
        <f aca="false">F5*(1+'Assumptions &amp; Drivers'!$B$5)</f>
        <v>320179.2832</v>
      </c>
      <c r="H5" s="15" t="n">
        <f aca="false">G5*(1+'Assumptions &amp; Drivers'!$B$5)</f>
        <v>358600.797184</v>
      </c>
      <c r="I5" s="15" t="n">
        <f aca="false">H5*(1+'Assumptions &amp; Drivers'!$B$5)</f>
        <v>401632.89284608</v>
      </c>
      <c r="J5" s="15" t="n">
        <f aca="false">I5*(1+'Assumptions &amp; Drivers'!$B$5)</f>
        <v>449828.83998761</v>
      </c>
      <c r="K5" s="15" t="n">
        <f aca="false">J5*(1+'Assumptions &amp; Drivers'!$B$5)</f>
        <v>503808.300786123</v>
      </c>
    </row>
    <row r="6" customFormat="false" ht="15" hidden="false" customHeight="false" outlineLevel="0" collapsed="false">
      <c r="A6" s="4" t="s">
        <v>127</v>
      </c>
      <c r="B6" s="14" t="n">
        <v>2267.08</v>
      </c>
      <c r="C6" s="14" t="n">
        <v>2942.23</v>
      </c>
      <c r="D6" s="14" t="n">
        <v>3450.12</v>
      </c>
      <c r="E6" s="14" t="n">
        <v>4124.82</v>
      </c>
      <c r="F6" s="14" t="n">
        <v>5760.68</v>
      </c>
      <c r="G6" s="15" t="n">
        <f aca="false">G5*'Assumptions &amp; Drivers'!$B$12</f>
        <v>6403.585664</v>
      </c>
      <c r="H6" s="15" t="n">
        <f aca="false">H5*'Assumptions &amp; Drivers'!$B$12</f>
        <v>7172.01594368</v>
      </c>
      <c r="I6" s="15" t="n">
        <f aca="false">I5*'Assumptions &amp; Drivers'!$B$12</f>
        <v>8032.6578569216</v>
      </c>
      <c r="J6" s="15" t="n">
        <f aca="false">J5*'Assumptions &amp; Drivers'!$B$12</f>
        <v>8996.57679975219</v>
      </c>
      <c r="K6" s="15" t="n">
        <f aca="false">K5*'Assumptions &amp; Drivers'!$B$12</f>
        <v>10076.1660157225</v>
      </c>
    </row>
    <row r="7" customFormat="false" ht="15.75" hidden="false" customHeight="true" outlineLevel="0" collapsed="false">
      <c r="A7" s="16" t="s">
        <v>128</v>
      </c>
      <c r="B7" s="17" t="n">
        <f aca="false">B5+B6</f>
        <v>158788.31</v>
      </c>
      <c r="C7" s="17" t="n">
        <f aca="false">C5+C6</f>
        <v>186282.93</v>
      </c>
      <c r="D7" s="17" t="n">
        <f aca="false">D5+D6</f>
        <v>224563.01</v>
      </c>
      <c r="E7" s="17" t="n">
        <f aca="false">E5+E6</f>
        <v>259859.27</v>
      </c>
      <c r="F7" s="17" t="n">
        <f aca="false">F5+F6</f>
        <v>291635.04</v>
      </c>
      <c r="G7" s="17" t="n">
        <f aca="false">G5+G6</f>
        <v>326582.868864</v>
      </c>
      <c r="H7" s="17" t="n">
        <f aca="false">H5+H6</f>
        <v>365772.81312768</v>
      </c>
      <c r="I7" s="17" t="n">
        <f aca="false">I5+I6</f>
        <v>409665.550703002</v>
      </c>
      <c r="J7" s="17" t="n">
        <f aca="false">J5+J6</f>
        <v>458825.416787362</v>
      </c>
      <c r="K7" s="17" t="n">
        <f aca="false">K5+K6</f>
        <v>513884.466801845</v>
      </c>
    </row>
    <row r="8" customFormat="false" ht="15.75" hidden="false" customHeight="true" outlineLevel="0" collapsed="false">
      <c r="A8" s="3" t="s">
        <v>129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4" t="s">
        <v>130</v>
      </c>
      <c r="B9" s="14" t="n">
        <v>82346.02</v>
      </c>
      <c r="C9" s="14" t="n">
        <v>100770.8</v>
      </c>
      <c r="D9" s="14" t="n">
        <v>117282.3</v>
      </c>
      <c r="E9" s="14" t="n">
        <v>137579.9</v>
      </c>
      <c r="F9" s="14" t="n">
        <v>153724.81</v>
      </c>
      <c r="G9" s="15" t="n">
        <f aca="false">G5*'Assumptions &amp; Drivers'!$B$9</f>
        <v>171295.916512</v>
      </c>
      <c r="H9" s="15" t="n">
        <f aca="false">H5*'Assumptions &amp; Drivers'!$B$9</f>
        <v>191851.42649344</v>
      </c>
      <c r="I9" s="15" t="n">
        <f aca="false">I5*'Assumptions &amp; Drivers'!$B$9</f>
        <v>214873.597672653</v>
      </c>
      <c r="J9" s="15" t="n">
        <f aca="false">J5*'Assumptions &amp; Drivers'!$B$9</f>
        <v>240658.429393371</v>
      </c>
      <c r="K9" s="15" t="n">
        <f aca="false">K5*'Assumptions &amp; Drivers'!$B$9</f>
        <v>269537.440920576</v>
      </c>
    </row>
    <row r="10" customFormat="false" ht="15" hidden="false" customHeight="false" outlineLevel="0" collapsed="false">
      <c r="A10" s="4" t="s">
        <v>131</v>
      </c>
      <c r="B10" s="14" t="n">
        <v>29733.53</v>
      </c>
      <c r="C10" s="14" t="n">
        <v>36200.4</v>
      </c>
      <c r="D10" s="14" t="n">
        <v>41500.6</v>
      </c>
      <c r="E10" s="14" t="n">
        <v>46768.68</v>
      </c>
      <c r="F10" s="14" t="n">
        <v>52187.22</v>
      </c>
      <c r="G10" s="15" t="n">
        <f aca="false">G5*'Assumptions &amp; Drivers'!$B$10</f>
        <v>57632.270976</v>
      </c>
      <c r="H10" s="15" t="n">
        <f aca="false">H5*'Assumptions &amp; Drivers'!$B$10</f>
        <v>64548.14349312</v>
      </c>
      <c r="I10" s="15" t="n">
        <f aca="false">I5*'Assumptions &amp; Drivers'!$B$10</f>
        <v>72293.9207122944</v>
      </c>
      <c r="J10" s="15" t="n">
        <f aca="false">J5*'Assumptions &amp; Drivers'!$B$10</f>
        <v>80969.1911977698</v>
      </c>
      <c r="K10" s="15" t="n">
        <f aca="false">K5*'Assumptions &amp; Drivers'!$B$10</f>
        <v>90685.4941415021</v>
      </c>
    </row>
    <row r="11" customFormat="false" ht="15" hidden="false" customHeight="false" outlineLevel="0" collapsed="false">
      <c r="A11" s="4" t="s">
        <v>132</v>
      </c>
      <c r="B11" s="14" t="n">
        <v>3125.7</v>
      </c>
      <c r="C11" s="14" t="n">
        <v>3200.1</v>
      </c>
      <c r="D11" s="14" t="n">
        <v>3250.4</v>
      </c>
      <c r="E11" s="14" t="n">
        <v>3334.37</v>
      </c>
      <c r="F11" s="14" t="n">
        <v>2848.82</v>
      </c>
      <c r="G11" s="15" t="n">
        <f aca="false">(('Balance Sheet'!F47+'Balance Sheet'!G47)/2)*'Assumptions &amp; Drivers'!$B$26</f>
        <v>12941.5092144</v>
      </c>
      <c r="H11" s="15" t="n">
        <f aca="false">(('Balance Sheet'!G47+'Balance Sheet'!H47)/2)*'Assumptions &amp; Drivers'!$B$26</f>
        <v>13976.829951552</v>
      </c>
      <c r="I11" s="15" t="n">
        <f aca="false">(('Balance Sheet'!H47+'Balance Sheet'!I47)/2)*'Assumptions &amp; Drivers'!$B$26</f>
        <v>15094.9763476762</v>
      </c>
      <c r="J11" s="15" t="n">
        <f aca="false">(('Balance Sheet'!I47+'Balance Sheet'!J47)/2)*'Assumptions &amp; Drivers'!$B$26</f>
        <v>16302.5744554903</v>
      </c>
      <c r="K11" s="15" t="n">
        <f aca="false">(('Balance Sheet'!J47+'Balance Sheet'!K47)/2)*'Assumptions &amp; Drivers'!$B$26</f>
        <v>17606.7804119295</v>
      </c>
    </row>
    <row r="12" customFormat="false" ht="15" hidden="false" customHeight="false" outlineLevel="0" collapsed="false">
      <c r="A12" s="4" t="s">
        <v>133</v>
      </c>
      <c r="B12" s="14" t="n">
        <v>2947.95</v>
      </c>
      <c r="C12" s="14" t="n">
        <v>3502.4</v>
      </c>
      <c r="D12" s="14" t="n">
        <v>3810.5</v>
      </c>
      <c r="E12" s="14" t="n">
        <v>4121.18</v>
      </c>
      <c r="F12" s="14" t="n">
        <v>4364.75</v>
      </c>
      <c r="G12" s="15" t="n">
        <f aca="false">'WC &amp; PPE Schedule'!G19</f>
        <v>11617.8076</v>
      </c>
      <c r="H12" s="15" t="n">
        <f aca="false">'WC &amp; PPE Schedule'!H19</f>
        <v>12399.08044032</v>
      </c>
      <c r="I12" s="15" t="n">
        <f aca="false">'WC &amp; PPE Schedule'!I19</f>
        <v>13445.7079615488</v>
      </c>
      <c r="J12" s="15" t="n">
        <f aca="false">'WC &amp; PPE Schedule'!J19</f>
        <v>14741.4841821757</v>
      </c>
      <c r="K12" s="15" t="n">
        <f aca="false">'WC &amp; PPE Schedule'!K19</f>
        <v>16281.7119950104</v>
      </c>
    </row>
    <row r="13" customFormat="false" ht="15" hidden="false" customHeight="false" outlineLevel="0" collapsed="false">
      <c r="A13" s="4" t="s">
        <v>134</v>
      </c>
      <c r="B13" s="14" t="n">
        <v>8831.89</v>
      </c>
      <c r="C13" s="14" t="n">
        <v>9450.2</v>
      </c>
      <c r="D13" s="14" t="n">
        <v>10200.3</v>
      </c>
      <c r="E13" s="14" t="n">
        <v>11558.13</v>
      </c>
      <c r="F13" s="14" t="n">
        <v>11699.45</v>
      </c>
      <c r="G13" s="15" t="n">
        <f aca="false">G5*'Assumptions &amp; Drivers'!$B$11</f>
        <v>12807.171328</v>
      </c>
      <c r="H13" s="15" t="n">
        <f aca="false">H5*'Assumptions &amp; Drivers'!$B$11</f>
        <v>14344.03188736</v>
      </c>
      <c r="I13" s="15" t="n">
        <f aca="false">I5*'Assumptions &amp; Drivers'!$B$11</f>
        <v>16065.3157138432</v>
      </c>
      <c r="J13" s="15" t="n">
        <f aca="false">J5*'Assumptions &amp; Drivers'!$B$11</f>
        <v>17993.1535995044</v>
      </c>
      <c r="K13" s="15" t="n">
        <f aca="false">K5*'Assumptions &amp; Drivers'!$B$11</f>
        <v>20152.3320314449</v>
      </c>
    </row>
    <row r="14" customFormat="false" ht="15.75" hidden="false" customHeight="true" outlineLevel="0" collapsed="false">
      <c r="A14" s="16" t="s">
        <v>135</v>
      </c>
      <c r="B14" s="17" t="n">
        <f aca="false">SUM(B9:B13)</f>
        <v>126985.09</v>
      </c>
      <c r="C14" s="17" t="n">
        <f aca="false">SUM(C9:C13)</f>
        <v>153123.9</v>
      </c>
      <c r="D14" s="17" t="n">
        <f aca="false">SUM(D9:D13)</f>
        <v>176044.1</v>
      </c>
      <c r="E14" s="17" t="n">
        <f aca="false">SUM(E9:E13)</f>
        <v>203362.26</v>
      </c>
      <c r="F14" s="17" t="n">
        <f aca="false">SUM(F9:F13)</f>
        <v>224825.05</v>
      </c>
      <c r="G14" s="17" t="n">
        <f aca="false">SUM(G9:G13)</f>
        <v>266294.6756304</v>
      </c>
      <c r="H14" s="17" t="n">
        <f aca="false">SUM(H9:H13)</f>
        <v>297119.512265792</v>
      </c>
      <c r="I14" s="17" t="n">
        <f aca="false">SUM(I9:I13)</f>
        <v>331773.518408015</v>
      </c>
      <c r="J14" s="17" t="n">
        <f aca="false">SUM(J9:J13)</f>
        <v>370664.832828311</v>
      </c>
      <c r="K14" s="17" t="n">
        <f aca="false">SUM(K9:K13)</f>
        <v>414263.759500463</v>
      </c>
    </row>
    <row r="15" customFormat="false" ht="15" hidden="false" customHeight="false" outlineLevel="0" collapsed="false">
      <c r="A15" s="16" t="s">
        <v>136</v>
      </c>
      <c r="B15" s="18" t="n">
        <f aca="false">B7-B14</f>
        <v>31803.22</v>
      </c>
      <c r="C15" s="18" t="n">
        <f aca="false">C7-C14</f>
        <v>33159.03</v>
      </c>
      <c r="D15" s="18" t="n">
        <f aca="false">D7-D14</f>
        <v>48518.91</v>
      </c>
      <c r="E15" s="18" t="n">
        <f aca="false">E7-E14</f>
        <v>56497.01</v>
      </c>
      <c r="F15" s="18" t="n">
        <f aca="false">F7-F14</f>
        <v>66809.99</v>
      </c>
      <c r="G15" s="18" t="n">
        <f aca="false">G7-G14</f>
        <v>60288.1932336</v>
      </c>
      <c r="H15" s="18" t="n">
        <f aca="false">H7-H14</f>
        <v>68653.300861888</v>
      </c>
      <c r="I15" s="18" t="n">
        <f aca="false">I7-I14</f>
        <v>77892.0322949863</v>
      </c>
      <c r="J15" s="18" t="n">
        <f aca="false">J7-J14</f>
        <v>88160.5839590505</v>
      </c>
      <c r="K15" s="18" t="n">
        <f aca="false">K7-K14</f>
        <v>99620.7073013827</v>
      </c>
    </row>
    <row r="16" customFormat="false" ht="15" hidden="false" customHeight="false" outlineLevel="0" collapsed="false">
      <c r="A16" s="4" t="s">
        <v>137</v>
      </c>
      <c r="B16" s="14" t="n">
        <v>0</v>
      </c>
      <c r="C16" s="14" t="n">
        <v>-95.4</v>
      </c>
      <c r="D16" s="14" t="n">
        <v>112.5</v>
      </c>
      <c r="E16" s="14" t="n">
        <v>474.78</v>
      </c>
      <c r="F16" s="14" t="n">
        <v>-1722.44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</row>
    <row r="17" customFormat="false" ht="15.75" hidden="false" customHeight="true" outlineLevel="0" collapsed="false">
      <c r="A17" s="19" t="s">
        <v>138</v>
      </c>
      <c r="B17" s="20" t="n">
        <f aca="false">B15+B16</f>
        <v>31803.22</v>
      </c>
      <c r="C17" s="20" t="n">
        <f aca="false">C15+C16</f>
        <v>33063.63</v>
      </c>
      <c r="D17" s="20" t="n">
        <f aca="false">D15+D16</f>
        <v>48631.41</v>
      </c>
      <c r="E17" s="20" t="n">
        <f aca="false">E15+E16</f>
        <v>56971.79</v>
      </c>
      <c r="F17" s="20" t="n">
        <f aca="false">F15+F16</f>
        <v>65087.55</v>
      </c>
      <c r="G17" s="20" t="n">
        <f aca="false">G15+G16</f>
        <v>60288.1932336</v>
      </c>
      <c r="H17" s="20" t="n">
        <f aca="false">H15+H16</f>
        <v>68653.300861888</v>
      </c>
      <c r="I17" s="20" t="n">
        <f aca="false">I15+I16</f>
        <v>77892.0322949863</v>
      </c>
      <c r="J17" s="20" t="n">
        <f aca="false">J15+J16</f>
        <v>88160.5839590505</v>
      </c>
      <c r="K17" s="20" t="n">
        <f aca="false">K15+K16</f>
        <v>99620.7073013827</v>
      </c>
    </row>
    <row r="18" customFormat="false" ht="15" hidden="false" customHeight="false" outlineLevel="0" collapsed="false">
      <c r="A18" s="4" t="s">
        <v>139</v>
      </c>
      <c r="B18" s="14" t="n">
        <v>4512.09</v>
      </c>
      <c r="C18" s="14" t="n">
        <v>4980.2</v>
      </c>
      <c r="D18" s="14" t="n">
        <v>5520.4</v>
      </c>
      <c r="E18" s="14" t="n">
        <v>6100.82</v>
      </c>
      <c r="F18" s="14" t="n">
        <v>6752.96</v>
      </c>
      <c r="G18" s="15" t="n">
        <f aca="false">G17*'Assumptions &amp; Drivers'!$B$13</f>
        <v>15072.0483084</v>
      </c>
      <c r="H18" s="15" t="n">
        <f aca="false">H17*'Assumptions &amp; Drivers'!$B$13</f>
        <v>17163.325215472</v>
      </c>
      <c r="I18" s="15" t="n">
        <f aca="false">I17*'Assumptions &amp; Drivers'!$B$13</f>
        <v>19473.0080737466</v>
      </c>
      <c r="J18" s="15" t="n">
        <f aca="false">J17*'Assumptions &amp; Drivers'!$B$13</f>
        <v>22040.1459897626</v>
      </c>
      <c r="K18" s="15" t="n">
        <f aca="false">K17*'Assumptions &amp; Drivers'!$B$13</f>
        <v>24905.1768253457</v>
      </c>
    </row>
    <row r="19" customFormat="false" ht="15" hidden="false" customHeight="false" outlineLevel="0" collapsed="false">
      <c r="A19" s="4" t="s">
        <v>140</v>
      </c>
      <c r="B19" s="14" t="n">
        <v>-295.48</v>
      </c>
      <c r="C19" s="14" t="n">
        <v>-120.3</v>
      </c>
      <c r="D19" s="14" t="n">
        <v>-180.5</v>
      </c>
      <c r="E19" s="14" t="n">
        <v>-209.42</v>
      </c>
      <c r="F19" s="14" t="n">
        <v>63.45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</row>
    <row r="20" customFormat="false" ht="15" hidden="false" customHeight="false" outlineLevel="0" collapsed="false">
      <c r="A20" s="16" t="s">
        <v>141</v>
      </c>
      <c r="B20" s="18" t="n">
        <f aca="false">B18+B19</f>
        <v>4216.61</v>
      </c>
      <c r="C20" s="18" t="n">
        <f aca="false">C18+C19</f>
        <v>4859.9</v>
      </c>
      <c r="D20" s="18" t="n">
        <f aca="false">D18+D19</f>
        <v>5339.9</v>
      </c>
      <c r="E20" s="18" t="n">
        <f aca="false">E18+E19</f>
        <v>5891.4</v>
      </c>
      <c r="F20" s="18" t="n">
        <f aca="false">F18+F19</f>
        <v>6816.41</v>
      </c>
      <c r="G20" s="18" t="n">
        <f aca="false">G18+G19</f>
        <v>15072.0483084</v>
      </c>
      <c r="H20" s="18" t="n">
        <f aca="false">H18+H19</f>
        <v>17163.325215472</v>
      </c>
      <c r="I20" s="18" t="n">
        <f aca="false">I18+I19</f>
        <v>19473.0080737466</v>
      </c>
      <c r="J20" s="18" t="n">
        <f aca="false">J18+J19</f>
        <v>22040.1459897626</v>
      </c>
      <c r="K20" s="18" t="n">
        <f aca="false">K18+K19</f>
        <v>24905.1768253457</v>
      </c>
    </row>
    <row r="21" customFormat="false" ht="15" hidden="false" customHeight="false" outlineLevel="0" collapsed="false">
      <c r="A21" s="16" t="s">
        <v>142</v>
      </c>
      <c r="B21" s="18" t="n">
        <f aca="false">B17-B20</f>
        <v>27586.61</v>
      </c>
      <c r="C21" s="18" t="n">
        <f aca="false">C17-C20</f>
        <v>28203.73</v>
      </c>
      <c r="D21" s="18" t="n">
        <f aca="false">D17-D20</f>
        <v>43291.51</v>
      </c>
      <c r="E21" s="18" t="n">
        <f aca="false">E17-E20</f>
        <v>51080.39</v>
      </c>
      <c r="F21" s="18" t="n">
        <f aca="false">F17-F20</f>
        <v>58271.14</v>
      </c>
      <c r="G21" s="18" t="n">
        <f aca="false">G17-G20</f>
        <v>45216.1449252</v>
      </c>
      <c r="H21" s="18" t="n">
        <f aca="false">H17-H20</f>
        <v>51489.975646416</v>
      </c>
      <c r="I21" s="18" t="n">
        <f aca="false">I17-I20</f>
        <v>58419.0242212397</v>
      </c>
      <c r="J21" s="18" t="n">
        <f aca="false">J17-J20</f>
        <v>66120.4379692879</v>
      </c>
      <c r="K21" s="18" t="n">
        <f aca="false">K17-K20</f>
        <v>74715.530476037</v>
      </c>
    </row>
    <row r="22" customFormat="false" ht="15" hidden="false" customHeight="false" outlineLevel="0" collapsed="false">
      <c r="A22" s="4" t="s">
        <v>143</v>
      </c>
      <c r="B22" s="14" t="n">
        <v>185.4</v>
      </c>
      <c r="C22" s="14" t="n">
        <v>-45.2</v>
      </c>
      <c r="D22" s="14" t="n">
        <v>-12.3</v>
      </c>
      <c r="E22" s="14" t="n">
        <v>-14.06</v>
      </c>
      <c r="F22" s="14" t="n">
        <v>-205.52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</row>
    <row r="23" customFormat="false" ht="15.75" hidden="false" customHeight="true" outlineLevel="0" collapsed="false">
      <c r="A23" s="19" t="s">
        <v>144</v>
      </c>
      <c r="B23" s="20" t="n">
        <f aca="false">B21-B22</f>
        <v>27401.21</v>
      </c>
      <c r="C23" s="20" t="n">
        <f aca="false">C21-C22</f>
        <v>28248.93</v>
      </c>
      <c r="D23" s="20" t="n">
        <f aca="false">D21-D22</f>
        <v>43303.81</v>
      </c>
      <c r="E23" s="20" t="n">
        <f aca="false">E21-E22</f>
        <v>51094.45</v>
      </c>
      <c r="F23" s="20" t="n">
        <f aca="false">F21-F22</f>
        <v>58476.66</v>
      </c>
      <c r="G23" s="20" t="n">
        <f aca="false">G21-G22</f>
        <v>45216.1449252</v>
      </c>
      <c r="H23" s="20" t="n">
        <f aca="false">H21-H22</f>
        <v>51489.975646416</v>
      </c>
      <c r="I23" s="20" t="n">
        <f aca="false">I21-I22</f>
        <v>58419.0242212397</v>
      </c>
      <c r="J23" s="20" t="n">
        <f aca="false">J21-J22</f>
        <v>66120.4379692879</v>
      </c>
      <c r="K23" s="20" t="n">
        <f aca="false">K21-K22</f>
        <v>74715.530476037</v>
      </c>
    </row>
    <row r="24" customFormat="false" ht="15.75" hidden="false" customHeight="true" outlineLevel="0" collapsed="false">
      <c r="A24" s="21" t="s">
        <v>145</v>
      </c>
      <c r="B24" s="22" t="n">
        <f aca="false">B5-B9-B10-B13</f>
        <v>35609.79</v>
      </c>
      <c r="C24" s="22" t="n">
        <f aca="false">C5-C9-C10-C13</f>
        <v>36919.3</v>
      </c>
      <c r="D24" s="22" t="n">
        <f aca="false">D5-D9-D10-D13</f>
        <v>52129.69</v>
      </c>
      <c r="E24" s="22" t="n">
        <f aca="false">E5-E9-E10-E13</f>
        <v>59827.74</v>
      </c>
      <c r="F24" s="22" t="n">
        <f aca="false">F5-F9-F10-F13</f>
        <v>68262.88</v>
      </c>
      <c r="G24" s="22" t="n">
        <f aca="false">G5-G9-G10-G13</f>
        <v>78443.924384</v>
      </c>
      <c r="H24" s="22" t="n">
        <f aca="false">H5-H9-H10-H13</f>
        <v>87857.19531008</v>
      </c>
      <c r="I24" s="22" t="n">
        <f aca="false">I5-I9-I10-I13</f>
        <v>98400.0587472896</v>
      </c>
      <c r="J24" s="22" t="n">
        <f aca="false">J5-J9-J10-J13</f>
        <v>110208.065796964</v>
      </c>
      <c r="K24" s="22" t="n">
        <f aca="false">K5-K9-K10-K13</f>
        <v>123433.0336926</v>
      </c>
    </row>
    <row r="25" customFormat="false" ht="15" hidden="false" customHeight="false" outlineLevel="0" collapsed="false">
      <c r="A25" s="21" t="s">
        <v>146</v>
      </c>
      <c r="B25" s="22" t="n">
        <f aca="false">B24-B12</f>
        <v>32661.84</v>
      </c>
      <c r="C25" s="22" t="n">
        <f aca="false">C24-C12</f>
        <v>33416.9</v>
      </c>
      <c r="D25" s="22" t="n">
        <f aca="false">D24-D12</f>
        <v>48319.19</v>
      </c>
      <c r="E25" s="22" t="n">
        <f aca="false">E24-E12</f>
        <v>55706.56</v>
      </c>
      <c r="F25" s="22" t="n">
        <f aca="false">F24-F12</f>
        <v>63898.13</v>
      </c>
      <c r="G25" s="22" t="n">
        <f aca="false">G24-G12</f>
        <v>66826.116784</v>
      </c>
      <c r="H25" s="22" t="n">
        <f aca="false">H24-H12</f>
        <v>75458.11486976</v>
      </c>
      <c r="I25" s="22" t="n">
        <f aca="false">I24-I12</f>
        <v>84954.3507857408</v>
      </c>
      <c r="J25" s="22" t="n">
        <f aca="false">J24-J12</f>
        <v>95466.5816147886</v>
      </c>
      <c r="K25" s="22" t="n">
        <f aca="false">K24-K12</f>
        <v>107151.32169759</v>
      </c>
    </row>
    <row r="26" customFormat="false" ht="15" hidden="false" customHeight="false" outlineLevel="0" collapsed="false">
      <c r="A26" s="4" t="s">
        <v>147</v>
      </c>
      <c r="B26" s="14" t="n">
        <v>60.45</v>
      </c>
      <c r="C26" s="14" t="n">
        <v>74.5</v>
      </c>
      <c r="D26" s="14" t="n">
        <v>92.8</v>
      </c>
      <c r="E26" s="14" t="n">
        <v>124.5</v>
      </c>
      <c r="F26" s="14" t="n">
        <v>137.8</v>
      </c>
      <c r="G26" s="15" t="n">
        <f aca="false">G23/'Cover &amp; Summary'!$B$10</f>
        <v>164.344654982009</v>
      </c>
      <c r="H26" s="15" t="n">
        <f aca="false">H23/'Cover &amp; Summary'!$B$10</f>
        <v>187.147805206324</v>
      </c>
      <c r="I26" s="15" t="n">
        <f aca="false">I23/'Cover &amp; Summary'!$B$10</f>
        <v>212.332440014683</v>
      </c>
      <c r="J26" s="15" t="n">
        <f aca="false">J23/'Cover &amp; Summary'!$B$10</f>
        <v>240.324348378177</v>
      </c>
      <c r="K26" s="15" t="n">
        <f aca="false">K23/'Cover &amp; Summary'!$B$10</f>
        <v>271.56446216711</v>
      </c>
    </row>
    <row r="27" customFormat="false" ht="15" hidden="false" customHeight="false" outlineLevel="0" collapsed="false">
      <c r="A27" s="4" t="s">
        <v>148</v>
      </c>
      <c r="B27" s="14" t="n">
        <v>60.38</v>
      </c>
      <c r="C27" s="14" t="n">
        <v>74.42</v>
      </c>
      <c r="D27" s="14" t="n">
        <v>92.71</v>
      </c>
      <c r="E27" s="14" t="n">
        <v>124.42</v>
      </c>
      <c r="F27" s="14" t="n">
        <v>137.72</v>
      </c>
      <c r="G27" s="15" t="n">
        <f aca="false">G26</f>
        <v>164.344654982009</v>
      </c>
      <c r="H27" s="15" t="n">
        <f aca="false">H26</f>
        <v>187.147805206324</v>
      </c>
      <c r="I27" s="15" t="n">
        <f aca="false">I26</f>
        <v>212.332440014683</v>
      </c>
      <c r="J27" s="15" t="n">
        <f aca="false">J26</f>
        <v>240.324348378177</v>
      </c>
      <c r="K27" s="15" t="n">
        <f aca="false">K26</f>
        <v>271.56446216711</v>
      </c>
    </row>
    <row r="28" customFormat="false" ht="15" hidden="false" customHeight="false" outlineLevel="0" collapsed="false">
      <c r="A28" s="4" t="s">
        <v>149</v>
      </c>
      <c r="B28" s="14" t="n">
        <v>2520.4</v>
      </c>
      <c r="C28" s="14" t="n">
        <v>3080.5</v>
      </c>
      <c r="D28" s="14" t="n">
        <v>3920.6</v>
      </c>
      <c r="E28" s="14" t="n">
        <v>4900.2</v>
      </c>
      <c r="F28" s="14" t="n">
        <v>5600.4</v>
      </c>
      <c r="G28" s="15" t="n">
        <f aca="false">G23*'Assumptions &amp; Drivers'!$B$32</f>
        <v>18086.45797008</v>
      </c>
      <c r="H28" s="15" t="n">
        <f aca="false">H23*'Assumptions &amp; Drivers'!$B$32</f>
        <v>20595.9902585664</v>
      </c>
      <c r="I28" s="15" t="n">
        <f aca="false">I23*'Assumptions &amp; Drivers'!$B$32</f>
        <v>23367.6096884959</v>
      </c>
      <c r="J28" s="15" t="n">
        <f aca="false">J23*'Assumptions &amp; Drivers'!$B$32</f>
        <v>26448.1751877152</v>
      </c>
      <c r="K28" s="15" t="n">
        <f aca="false">K23*'Assumptions &amp; Drivers'!$B$32</f>
        <v>29886.2121904148</v>
      </c>
    </row>
    <row r="29" customFormat="false" ht="15" hidden="true" customHeight="false" outlineLevel="0" collapsed="false">
      <c r="A29" s="0" t="s">
        <v>150</v>
      </c>
      <c r="B29" s="0" t="n">
        <f aca="false">B24/B5</f>
        <v>0.227507731698761</v>
      </c>
      <c r="C29" s="0" t="n">
        <f aca="false">C24/C5</f>
        <v>0.201369908590946</v>
      </c>
      <c r="D29" s="0" t="n">
        <f aca="false">D24/D5</f>
        <v>0.235760520338728</v>
      </c>
      <c r="E29" s="0" t="n">
        <f aca="false">E24/E5</f>
        <v>0.233944781393356</v>
      </c>
      <c r="F29" s="0" t="n">
        <f aca="false">F24/F5</f>
        <v>0.238786297588913</v>
      </c>
      <c r="G29" s="0" t="n">
        <f aca="false">G24/G5</f>
        <v>0.245</v>
      </c>
      <c r="H29" s="0" t="n">
        <f aca="false">H24/H5</f>
        <v>0.245</v>
      </c>
      <c r="I29" s="0" t="n">
        <f aca="false">I24/I5</f>
        <v>0.245</v>
      </c>
      <c r="J29" s="0" t="n">
        <f aca="false">J24/J5</f>
        <v>0.245</v>
      </c>
      <c r="K29" s="0" t="n">
        <f aca="false">K24/K5</f>
        <v>0.245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1" min="2" style="0" width="14"/>
  </cols>
  <sheetData>
    <row r="1" customFormat="false" ht="24" hidden="false" customHeight="true" outlineLevel="0" collapsed="false">
      <c r="A1" s="8" t="s">
        <v>151</v>
      </c>
    </row>
    <row r="3" customFormat="false" ht="18" hidden="false" customHeight="true" outlineLevel="0" collapsed="false">
      <c r="A3" s="9" t="s">
        <v>114</v>
      </c>
      <c r="B3" s="12" t="s">
        <v>115</v>
      </c>
      <c r="C3" s="12" t="s">
        <v>116</v>
      </c>
      <c r="D3" s="12" t="s">
        <v>117</v>
      </c>
      <c r="E3" s="12" t="s">
        <v>118</v>
      </c>
      <c r="F3" s="12" t="s">
        <v>119</v>
      </c>
      <c r="G3" s="12" t="s">
        <v>120</v>
      </c>
      <c r="H3" s="12" t="s">
        <v>121</v>
      </c>
      <c r="I3" s="12" t="s">
        <v>122</v>
      </c>
      <c r="J3" s="12" t="s">
        <v>123</v>
      </c>
      <c r="K3" s="12" t="s">
        <v>124</v>
      </c>
    </row>
    <row r="4" customFormat="false" ht="15.75" hidden="false" customHeight="true" outlineLevel="0" collapsed="false">
      <c r="A4" s="3" t="s">
        <v>152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A5" s="4" t="s">
        <v>153</v>
      </c>
      <c r="B5" s="14" t="n">
        <v>281.01</v>
      </c>
      <c r="C5" s="14" t="n">
        <v>281.1</v>
      </c>
      <c r="D5" s="14" t="n">
        <v>274.93</v>
      </c>
      <c r="E5" s="14" t="n">
        <v>275.04</v>
      </c>
      <c r="F5" s="14" t="n">
        <v>275.13</v>
      </c>
      <c r="G5" s="15" t="n">
        <f aca="false">F5</f>
        <v>275.13</v>
      </c>
      <c r="H5" s="15" t="n">
        <f aca="false">G5</f>
        <v>275.13</v>
      </c>
      <c r="I5" s="15" t="n">
        <f aca="false">H5</f>
        <v>275.13</v>
      </c>
      <c r="J5" s="15" t="n">
        <f aca="false">I5</f>
        <v>275.13</v>
      </c>
      <c r="K5" s="15" t="n">
        <f aca="false">J5</f>
        <v>275.13</v>
      </c>
    </row>
    <row r="6" customFormat="false" ht="15" hidden="false" customHeight="false" outlineLevel="0" collapsed="false">
      <c r="A6" s="4" t="s">
        <v>154</v>
      </c>
      <c r="B6" s="14" t="n">
        <v>281.01</v>
      </c>
      <c r="C6" s="14" t="n">
        <v>281.1</v>
      </c>
      <c r="D6" s="14" t="n">
        <v>274.93</v>
      </c>
      <c r="E6" s="14" t="n">
        <v>275.04</v>
      </c>
      <c r="F6" s="14" t="n">
        <v>275.13</v>
      </c>
      <c r="G6" s="15" t="n">
        <f aca="false">F6</f>
        <v>275.13</v>
      </c>
      <c r="H6" s="15" t="n">
        <f aca="false">G6</f>
        <v>275.13</v>
      </c>
      <c r="I6" s="15" t="n">
        <f aca="false">H6</f>
        <v>275.13</v>
      </c>
      <c r="J6" s="15" t="n">
        <f aca="false">I6</f>
        <v>275.13</v>
      </c>
      <c r="K6" s="15" t="n">
        <f aca="false">J6</f>
        <v>275.13</v>
      </c>
    </row>
    <row r="7" customFormat="false" ht="15" hidden="false" customHeight="false" outlineLevel="0" collapsed="false">
      <c r="A7" s="4" t="s">
        <v>155</v>
      </c>
      <c r="B7" s="14" t="n">
        <v>82126.65</v>
      </c>
      <c r="C7" s="14" t="n">
        <v>89044.85</v>
      </c>
      <c r="D7" s="14" t="n">
        <v>86084.31</v>
      </c>
      <c r="E7" s="14" t="n">
        <v>97380.56</v>
      </c>
      <c r="F7" s="14" t="n">
        <v>109014.67</v>
      </c>
      <c r="G7" s="15" t="n">
        <f aca="false">F7+'Income Statement'!G23-'Income Statement'!G28</f>
        <v>136144.35695512</v>
      </c>
      <c r="H7" s="15" t="n">
        <f aca="false">G7+'Income Statement'!H23-'Income Statement'!H28</f>
        <v>167038.34234297</v>
      </c>
      <c r="I7" s="15" t="n">
        <f aca="false">H7+'Income Statement'!I23-'Income Statement'!I28</f>
        <v>202089.756875713</v>
      </c>
      <c r="J7" s="15" t="n">
        <f aca="false">I7+'Income Statement'!J23-'Income Statement'!J28</f>
        <v>241762.019657286</v>
      </c>
      <c r="K7" s="15" t="n">
        <f aca="false">J7+'Income Statement'!K23-'Income Statement'!K28</f>
        <v>286591.337942908</v>
      </c>
    </row>
    <row r="8" customFormat="false" ht="15.75" hidden="false" customHeight="true" outlineLevel="0" collapsed="false">
      <c r="A8" s="16" t="s">
        <v>156</v>
      </c>
      <c r="B8" s="18" t="n">
        <f aca="false">B6+B7</f>
        <v>82407.66</v>
      </c>
      <c r="C8" s="18" t="n">
        <f aca="false">C6+C7</f>
        <v>89325.95</v>
      </c>
      <c r="D8" s="18" t="n">
        <f aca="false">D6+D7</f>
        <v>86359.24</v>
      </c>
      <c r="E8" s="18" t="n">
        <f aca="false">E6+E7</f>
        <v>97655.6</v>
      </c>
      <c r="F8" s="18" t="n">
        <f aca="false">F6+F7</f>
        <v>109289.8</v>
      </c>
      <c r="G8" s="18" t="n">
        <f aca="false">G6+G7</f>
        <v>136419.48695512</v>
      </c>
      <c r="H8" s="18" t="n">
        <f aca="false">H6+H7</f>
        <v>167313.47234297</v>
      </c>
      <c r="I8" s="18" t="n">
        <f aca="false">I6+I7</f>
        <v>202364.886875713</v>
      </c>
      <c r="J8" s="18" t="n">
        <f aca="false">J6+J7</f>
        <v>242037.149657286</v>
      </c>
      <c r="K8" s="18" t="n">
        <f aca="false">K6+K7</f>
        <v>286866.467942908</v>
      </c>
    </row>
    <row r="9" customFormat="false" ht="15" hidden="false" customHeight="false" outlineLevel="0" collapsed="false">
      <c r="A9" s="4" t="s">
        <v>143</v>
      </c>
      <c r="B9" s="14" t="n">
        <v>12966.07</v>
      </c>
      <c r="C9" s="14" t="n">
        <v>14241.27</v>
      </c>
      <c r="D9" s="14" t="n">
        <v>16190.42</v>
      </c>
      <c r="E9" s="14" t="n">
        <v>17748.08</v>
      </c>
      <c r="F9" s="14" t="n">
        <v>19240.66</v>
      </c>
      <c r="G9" s="15" t="n">
        <f aca="false">F9</f>
        <v>19240.66</v>
      </c>
      <c r="H9" s="15" t="n">
        <f aca="false">G9</f>
        <v>19240.66</v>
      </c>
      <c r="I9" s="15" t="n">
        <f aca="false">H9</f>
        <v>19240.66</v>
      </c>
      <c r="J9" s="15" t="n">
        <f aca="false">I9</f>
        <v>19240.66</v>
      </c>
      <c r="K9" s="15" t="n">
        <f aca="false">J9</f>
        <v>19240.66</v>
      </c>
    </row>
    <row r="10" customFormat="false" ht="15.75" hidden="false" customHeight="true" outlineLevel="0" collapsed="false">
      <c r="A10" s="19" t="s">
        <v>19</v>
      </c>
      <c r="B10" s="20" t="n">
        <f aca="false">B8+B9</f>
        <v>95373.73</v>
      </c>
      <c r="C10" s="20" t="n">
        <f aca="false">C8+C9</f>
        <v>103567.22</v>
      </c>
      <c r="D10" s="20" t="n">
        <f aca="false">D8+D9</f>
        <v>102549.66</v>
      </c>
      <c r="E10" s="20" t="n">
        <f aca="false">E8+E9</f>
        <v>115403.68</v>
      </c>
      <c r="F10" s="20" t="n">
        <f aca="false">F8+F9</f>
        <v>128530.46</v>
      </c>
      <c r="G10" s="20" t="n">
        <f aca="false">G8+G9</f>
        <v>155660.14695512</v>
      </c>
      <c r="H10" s="20" t="n">
        <f aca="false">H8+H9</f>
        <v>186554.13234297</v>
      </c>
      <c r="I10" s="20" t="n">
        <f aca="false">I8+I9</f>
        <v>221605.546875713</v>
      </c>
      <c r="J10" s="20" t="n">
        <f aca="false">J8+J9</f>
        <v>261277.809657286</v>
      </c>
      <c r="K10" s="20" t="n">
        <f aca="false">K8+K9</f>
        <v>306107.127942908</v>
      </c>
    </row>
    <row r="11" customFormat="false" ht="15.75" hidden="false" customHeight="true" outlineLevel="0" collapsed="false">
      <c r="A11" s="3" t="s">
        <v>157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4" t="s">
        <v>158</v>
      </c>
      <c r="B12" s="14" t="n">
        <v>63363.29</v>
      </c>
      <c r="C12" s="14" t="n">
        <v>63136.95</v>
      </c>
      <c r="D12" s="14" t="n">
        <v>58337.82</v>
      </c>
      <c r="E12" s="14" t="n">
        <v>60020.76</v>
      </c>
      <c r="F12" s="14" t="n">
        <v>68485.5</v>
      </c>
      <c r="G12" s="15" t="n">
        <f aca="false">F12*(1+'Assumptions &amp; Drivers'!$B$25)</f>
        <v>73964.34</v>
      </c>
      <c r="H12" s="15" t="n">
        <f aca="false">G12*(1+'Assumptions &amp; Drivers'!$B$25)</f>
        <v>79881.4872</v>
      </c>
      <c r="I12" s="15" t="n">
        <f aca="false">H12*(1+'Assumptions &amp; Drivers'!$B$25)</f>
        <v>86272.006176</v>
      </c>
      <c r="J12" s="15" t="n">
        <f aca="false">I12*(1+'Assumptions &amp; Drivers'!$B$25)</f>
        <v>93173.76667008</v>
      </c>
      <c r="K12" s="15" t="n">
        <f aca="false">J12*(1+'Assumptions &amp; Drivers'!$B$25)</f>
        <v>100627.668003686</v>
      </c>
    </row>
    <row r="13" customFormat="false" ht="15" hidden="false" customHeight="false" outlineLevel="0" collapsed="false">
      <c r="A13" s="4" t="s">
        <v>159</v>
      </c>
      <c r="B13" s="14" t="n">
        <v>1039.33</v>
      </c>
      <c r="C13" s="14" t="n">
        <v>630.43</v>
      </c>
      <c r="D13" s="14" t="n">
        <v>533.63</v>
      </c>
      <c r="E13" s="14" t="n">
        <v>410.01</v>
      </c>
      <c r="F13" s="14" t="n">
        <v>167.11</v>
      </c>
      <c r="G13" s="15" t="n">
        <f aca="false">F13</f>
        <v>167.11</v>
      </c>
      <c r="H13" s="15" t="n">
        <f aca="false">G13</f>
        <v>167.11</v>
      </c>
      <c r="I13" s="15" t="n">
        <f aca="false">H13</f>
        <v>167.11</v>
      </c>
      <c r="J13" s="15" t="n">
        <f aca="false">I13</f>
        <v>167.11</v>
      </c>
      <c r="K13" s="15" t="n">
        <f aca="false">J13</f>
        <v>167.11</v>
      </c>
    </row>
    <row r="14" customFormat="false" ht="15" hidden="false" customHeight="false" outlineLevel="0" collapsed="false">
      <c r="A14" s="4" t="s">
        <v>160</v>
      </c>
      <c r="B14" s="14" t="n">
        <v>21.27</v>
      </c>
      <c r="C14" s="14" t="n">
        <v>81.73</v>
      </c>
      <c r="D14" s="14" t="n">
        <v>618.02</v>
      </c>
      <c r="E14" s="14" t="n">
        <v>594.74</v>
      </c>
      <c r="F14" s="14" t="n">
        <v>36.82</v>
      </c>
      <c r="G14" s="15" t="n">
        <f aca="false">F14</f>
        <v>36.82</v>
      </c>
      <c r="H14" s="15" t="n">
        <f aca="false">G14</f>
        <v>36.82</v>
      </c>
      <c r="I14" s="15" t="n">
        <f aca="false">H14</f>
        <v>36.82</v>
      </c>
      <c r="J14" s="15" t="n">
        <f aca="false">I14</f>
        <v>36.82</v>
      </c>
      <c r="K14" s="15" t="n">
        <f aca="false">J14</f>
        <v>36.82</v>
      </c>
    </row>
    <row r="15" customFormat="false" ht="15" hidden="false" customHeight="false" outlineLevel="0" collapsed="false">
      <c r="A15" s="4" t="s">
        <v>161</v>
      </c>
      <c r="B15" s="14" t="n">
        <v>817.77</v>
      </c>
      <c r="C15" s="14" t="n">
        <v>869.99</v>
      </c>
      <c r="D15" s="14" t="n">
        <v>987.38</v>
      </c>
      <c r="E15" s="14" t="n">
        <v>1124.01</v>
      </c>
      <c r="F15" s="14" t="n">
        <v>832.48</v>
      </c>
      <c r="G15" s="15" t="n">
        <f aca="false">F15</f>
        <v>832.48</v>
      </c>
      <c r="H15" s="15" t="n">
        <f aca="false">G15</f>
        <v>832.48</v>
      </c>
      <c r="I15" s="15" t="n">
        <f aca="false">H15</f>
        <v>832.48</v>
      </c>
      <c r="J15" s="15" t="n">
        <f aca="false">I15</f>
        <v>832.48</v>
      </c>
      <c r="K15" s="15" t="n">
        <f aca="false">J15</f>
        <v>832.48</v>
      </c>
    </row>
    <row r="16" customFormat="false" ht="15.75" hidden="false" customHeight="true" outlineLevel="0" collapsed="false">
      <c r="A16" s="16" t="s">
        <v>162</v>
      </c>
      <c r="B16" s="18" t="n">
        <f aca="false">SUM(B12:B15)</f>
        <v>65241.66</v>
      </c>
      <c r="C16" s="18" t="n">
        <f aca="false">SUM(C12:C15)</f>
        <v>64719.1</v>
      </c>
      <c r="D16" s="18" t="n">
        <f aca="false">SUM(D12:D15)</f>
        <v>60476.85</v>
      </c>
      <c r="E16" s="18" t="n">
        <f aca="false">SUM(E12:E15)</f>
        <v>62149.52</v>
      </c>
      <c r="F16" s="18" t="n">
        <f aca="false">SUM(F12:F15)</f>
        <v>69521.91</v>
      </c>
      <c r="G16" s="18" t="n">
        <f aca="false">SUM(G12:G15)</f>
        <v>75000.75</v>
      </c>
      <c r="H16" s="18" t="n">
        <f aca="false">SUM(H12:H15)</f>
        <v>80917.8972</v>
      </c>
      <c r="I16" s="18" t="n">
        <f aca="false">SUM(I12:I15)</f>
        <v>87308.416176</v>
      </c>
      <c r="J16" s="18" t="n">
        <f aca="false">SUM(J12:J15)</f>
        <v>94210.17667008</v>
      </c>
      <c r="K16" s="18" t="n">
        <f aca="false">SUM(K12:K15)</f>
        <v>101664.078003686</v>
      </c>
    </row>
    <row r="17" customFormat="false" ht="15.75" hidden="false" customHeight="true" outlineLevel="0" collapsed="false">
      <c r="A17" s="3" t="s">
        <v>163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4" t="s">
        <v>164</v>
      </c>
      <c r="B18" s="14" t="n">
        <v>68979.51</v>
      </c>
      <c r="C18" s="14" t="n">
        <v>65228.39</v>
      </c>
      <c r="D18" s="14" t="n">
        <v>65656.14</v>
      </c>
      <c r="E18" s="14" t="n">
        <v>78913.71</v>
      </c>
      <c r="F18" s="14" t="n">
        <v>91049.87</v>
      </c>
      <c r="G18" s="15" t="n">
        <f aca="false">F18*(1+'Assumptions &amp; Drivers'!$B$25)</f>
        <v>98333.8596</v>
      </c>
      <c r="H18" s="15" t="n">
        <f aca="false">G18*(1+'Assumptions &amp; Drivers'!$B$25)</f>
        <v>106200.568368</v>
      </c>
      <c r="I18" s="15" t="n">
        <f aca="false">H18*(1+'Assumptions &amp; Drivers'!$B$25)</f>
        <v>114696.61383744</v>
      </c>
      <c r="J18" s="15" t="n">
        <f aca="false">I18*(1+'Assumptions &amp; Drivers'!$B$25)</f>
        <v>123872.342944435</v>
      </c>
      <c r="K18" s="15" t="n">
        <f aca="false">J18*(1+'Assumptions &amp; Drivers'!$B$25)</f>
        <v>133782.13037999</v>
      </c>
    </row>
    <row r="19" customFormat="false" ht="15" hidden="false" customHeight="false" outlineLevel="0" collapsed="false">
      <c r="A19" s="4" t="s">
        <v>165</v>
      </c>
      <c r="B19" s="14" t="n">
        <v>51144.24</v>
      </c>
      <c r="C19" s="14" t="n">
        <v>49784.12</v>
      </c>
      <c r="D19" s="14" t="n">
        <v>53292.88</v>
      </c>
      <c r="E19" s="14" t="n">
        <v>52459.34</v>
      </c>
      <c r="F19" s="14" t="n">
        <v>69455.64</v>
      </c>
      <c r="G19" s="15" t="n">
        <f aca="false">'WC &amp; PPE Schedule'!G8</f>
        <v>75439.5023430137</v>
      </c>
      <c r="H19" s="15" t="n">
        <f aca="false">'WC &amp; PPE Schedule'!H8</f>
        <v>84492.2426241754</v>
      </c>
      <c r="I19" s="15" t="n">
        <f aca="false">'WC &amp; PPE Schedule'!I8</f>
        <v>94631.3117390764</v>
      </c>
      <c r="J19" s="15" t="n">
        <f aca="false">'WC &amp; PPE Schedule'!J8</f>
        <v>105987.069147766</v>
      </c>
      <c r="K19" s="15" t="n">
        <f aca="false">'WC &amp; PPE Schedule'!K8</f>
        <v>118705.517445497</v>
      </c>
    </row>
    <row r="20" customFormat="false" ht="15" hidden="false" customHeight="false" outlineLevel="0" collapsed="false">
      <c r="A20" s="4" t="s">
        <v>166</v>
      </c>
      <c r="B20" s="14" t="n">
        <v>35953.92</v>
      </c>
      <c r="C20" s="14" t="n">
        <v>43560.01</v>
      </c>
      <c r="D20" s="14" t="n">
        <v>54194.2</v>
      </c>
      <c r="E20" s="14" t="n">
        <v>65906.18</v>
      </c>
      <c r="F20" s="14" t="n">
        <v>88982.98</v>
      </c>
      <c r="G20" s="15" t="n">
        <f aca="false">F20*(1+'Assumptions &amp; Drivers'!$B$25)</f>
        <v>96101.6184</v>
      </c>
      <c r="H20" s="15" t="n">
        <f aca="false">G20*(1+'Assumptions &amp; Drivers'!$B$25)</f>
        <v>103789.747872</v>
      </c>
      <c r="I20" s="15" t="n">
        <f aca="false">H20*(1+'Assumptions &amp; Drivers'!$B$25)</f>
        <v>112092.92770176</v>
      </c>
      <c r="J20" s="15" t="n">
        <f aca="false">I20*(1+'Assumptions &amp; Drivers'!$B$25)</f>
        <v>121060.361917901</v>
      </c>
      <c r="K20" s="15" t="n">
        <f aca="false">J20*(1+'Assumptions &amp; Drivers'!$B$25)</f>
        <v>130745.190871333</v>
      </c>
    </row>
    <row r="21" customFormat="false" ht="15" hidden="false" customHeight="false" outlineLevel="0" collapsed="false">
      <c r="A21" s="4" t="s">
        <v>167</v>
      </c>
      <c r="B21" s="14" t="n">
        <v>3355.86</v>
      </c>
      <c r="C21" s="14" t="n">
        <v>3493.47</v>
      </c>
      <c r="D21" s="14" t="n">
        <v>3457.51</v>
      </c>
      <c r="E21" s="14" t="n">
        <v>4691.67</v>
      </c>
      <c r="F21" s="14" t="n">
        <v>5009.03</v>
      </c>
      <c r="G21" s="15" t="n">
        <f aca="false">F21</f>
        <v>5009.03</v>
      </c>
      <c r="H21" s="15" t="n">
        <f aca="false">G21</f>
        <v>5009.03</v>
      </c>
      <c r="I21" s="15" t="n">
        <f aca="false">H21</f>
        <v>5009.03</v>
      </c>
      <c r="J21" s="15" t="n">
        <f aca="false">I21</f>
        <v>5009.03</v>
      </c>
      <c r="K21" s="15" t="n">
        <f aca="false">J21</f>
        <v>5009.03</v>
      </c>
    </row>
    <row r="22" customFormat="false" ht="15.75" hidden="true" customHeight="true" outlineLevel="0" collapsed="false">
      <c r="A22" s="23" t="s">
        <v>168</v>
      </c>
      <c r="B22" s="23"/>
      <c r="C22" s="23"/>
      <c r="D22" s="23"/>
      <c r="E22" s="23"/>
      <c r="F22" s="23"/>
      <c r="G22" s="23" t="n">
        <v>7375.1999999999534</v>
      </c>
      <c r="H22" s="23" t="n">
        <v>7375.20000000007</v>
      </c>
      <c r="I22" s="23" t="n">
        <v>7375.1999999999534</v>
      </c>
      <c r="J22" s="23" t="n">
        <v>7375.1999999999534</v>
      </c>
      <c r="K22" s="23" t="n">
        <v>16342.634216140839</v>
      </c>
    </row>
    <row r="23" customFormat="false" ht="15.75" hidden="false" customHeight="true" outlineLevel="0" collapsed="false">
      <c r="A23" s="16" t="s">
        <v>169</v>
      </c>
      <c r="B23" s="18" t="n">
        <f aca="false">SUM(B18:B21)</f>
        <v>159433.53</v>
      </c>
      <c r="C23" s="18" t="n">
        <f aca="false">SUM(C18:C21)</f>
        <v>162065.99</v>
      </c>
      <c r="D23" s="18" t="n">
        <f aca="false">SUM(D18:D21)</f>
        <v>176600.73</v>
      </c>
      <c r="E23" s="18" t="n">
        <f aca="false">SUM(E18:E21)</f>
        <v>201970.9</v>
      </c>
      <c r="F23" s="18" t="n">
        <f aca="false">SUM(F18:F21)</f>
        <v>254497.52</v>
      </c>
      <c r="G23" s="18" t="n">
        <f aca="false">SUM(G18:G22)</f>
        <v>282259.210343014</v>
      </c>
      <c r="H23" s="18" t="n">
        <f aca="false">SUM(H18:H22)</f>
        <v>306866.788864175</v>
      </c>
      <c r="I23" s="18" t="n">
        <f aca="false">SUM(I18:I22)</f>
        <v>333805.083278276</v>
      </c>
      <c r="J23" s="18" t="n">
        <f aca="false">SUM(J18:J22)</f>
        <v>363304.004010102</v>
      </c>
      <c r="K23" s="18" t="n">
        <f aca="false">SUM(K18:K22)</f>
        <v>404584.502912961</v>
      </c>
    </row>
    <row r="24" customFormat="false" ht="15.75" hidden="false" customHeight="true" outlineLevel="0" collapsed="false">
      <c r="A24" s="19" t="s">
        <v>170</v>
      </c>
      <c r="B24" s="20" t="n">
        <f aca="false">B10+B16+B23</f>
        <v>320048.92</v>
      </c>
      <c r="C24" s="20" t="n">
        <f aca="false">C10+C16+C23</f>
        <v>330352.31</v>
      </c>
      <c r="D24" s="20" t="n">
        <f aca="false">D10+D16+D23</f>
        <v>339627.24</v>
      </c>
      <c r="E24" s="20" t="n">
        <f aca="false">E10+E16+E23</f>
        <v>379524.1</v>
      </c>
      <c r="F24" s="20" t="n">
        <f aca="false">F10+F16+F23</f>
        <v>452549.89</v>
      </c>
      <c r="G24" s="20" t="n">
        <f aca="false">G10+G16+G23</f>
        <v>512920.107298134</v>
      </c>
      <c r="H24" s="20" t="n">
        <f aca="false">H10+H16+H23</f>
        <v>574338.818407145</v>
      </c>
      <c r="I24" s="20" t="n">
        <f aca="false">I10+I16+I23</f>
        <v>642719.04632999</v>
      </c>
      <c r="J24" s="20" t="n">
        <f aca="false">J10+J16+J23</f>
        <v>718791.990337468</v>
      </c>
      <c r="K24" s="20" t="n">
        <f aca="false">K10+K16+K23</f>
        <v>812355.708859556</v>
      </c>
    </row>
    <row r="25" customFormat="false" ht="15.75" hidden="false" customHeight="true" outlineLevel="0" collapsed="false">
      <c r="A25" s="3" t="s">
        <v>171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.75" hidden="false" customHeight="true" outlineLevel="0" collapsed="false">
      <c r="A26" s="3" t="s">
        <v>172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A27" s="4" t="s">
        <v>173</v>
      </c>
      <c r="B27" s="14" t="n">
        <v>16530.47</v>
      </c>
      <c r="C27" s="14" t="n">
        <v>16834.37</v>
      </c>
      <c r="D27" s="14" t="n">
        <v>17778.42</v>
      </c>
      <c r="E27" s="14" t="n">
        <v>18656.21</v>
      </c>
      <c r="F27" s="14" t="n">
        <v>20557.16</v>
      </c>
      <c r="G27" s="15" t="n">
        <f aca="false">'WC &amp; PPE Schedule'!G20*0.6601</f>
        <v>29230.8321380544</v>
      </c>
      <c r="H27" s="15" t="n">
        <f aca="false">'WC &amp; PPE Schedule'!H20*0.6601</f>
        <v>31698.2565193513</v>
      </c>
      <c r="I27" s="15" t="n">
        <f aca="false">'WC &amp; PPE Schedule'!I20*0.6601</f>
        <v>34753.0489594793</v>
      </c>
      <c r="J27" s="15" t="n">
        <f aca="false">'WC &amp; PPE Schedule'!J20*0.6601</f>
        <v>38384.1360282371</v>
      </c>
      <c r="K27" s="15" t="n">
        <f aca="false">'WC &amp; PPE Schedule'!K20*0.6601</f>
        <v>42601.9516110321</v>
      </c>
    </row>
    <row r="28" customFormat="false" ht="15" hidden="false" customHeight="false" outlineLevel="0" collapsed="false">
      <c r="A28" s="4" t="s">
        <v>174</v>
      </c>
      <c r="B28" s="14" t="n">
        <v>26285.58</v>
      </c>
      <c r="C28" s="14" t="n">
        <v>25923.11</v>
      </c>
      <c r="D28" s="14" t="n">
        <v>25333.37</v>
      </c>
      <c r="E28" s="14" t="n">
        <v>25597.06</v>
      </c>
      <c r="F28" s="14" t="n">
        <v>10584.45</v>
      </c>
      <c r="G28" s="15" t="n">
        <f aca="false">'WC &amp; PPE Schedule'!G20*0.3399</f>
        <v>15051.5980059456</v>
      </c>
      <c r="H28" s="15" t="n">
        <f aca="false">'WC &amp; PPE Schedule'!H20*0.3399</f>
        <v>16322.1290576087</v>
      </c>
      <c r="I28" s="15" t="n">
        <f aca="false">'WC &amp; PPE Schedule'!I20*0.3399</f>
        <v>17895.1088340055</v>
      </c>
      <c r="J28" s="15" t="n">
        <f aca="false">'WC &amp; PPE Schedule'!J20*0.3399</f>
        <v>19764.8353825144</v>
      </c>
      <c r="K28" s="15" t="n">
        <f aca="false">'WC &amp; PPE Schedule'!K20*0.3399</f>
        <v>21936.6813400845</v>
      </c>
    </row>
    <row r="29" customFormat="false" ht="15" hidden="false" customHeight="false" outlineLevel="0" collapsed="false">
      <c r="A29" s="4" t="s">
        <v>175</v>
      </c>
      <c r="B29" s="14" t="n">
        <v>1170.32</v>
      </c>
      <c r="C29" s="14" t="n">
        <v>2949.09</v>
      </c>
      <c r="D29" s="14" t="n">
        <v>2897.04</v>
      </c>
      <c r="E29" s="14" t="n">
        <v>2390.86</v>
      </c>
      <c r="F29" s="14" t="n">
        <v>3036.25</v>
      </c>
      <c r="G29" s="15" t="n">
        <f aca="false">F29</f>
        <v>3036.25</v>
      </c>
      <c r="H29" s="15" t="n">
        <f aca="false">G29</f>
        <v>3036.25</v>
      </c>
      <c r="I29" s="15" t="n">
        <f aca="false">H29</f>
        <v>3036.25</v>
      </c>
      <c r="J29" s="15" t="n">
        <f aca="false">I29</f>
        <v>3036.25</v>
      </c>
      <c r="K29" s="15" t="n">
        <f aca="false">J29</f>
        <v>3036.25</v>
      </c>
    </row>
    <row r="30" customFormat="false" ht="15.75" hidden="false" customHeight="true" outlineLevel="0" collapsed="false">
      <c r="A30" s="16" t="s">
        <v>176</v>
      </c>
      <c r="B30" s="18" t="n">
        <f aca="false">SUM(B27:B29)</f>
        <v>43986.37</v>
      </c>
      <c r="C30" s="18" t="n">
        <f aca="false">SUM(C27:C29)</f>
        <v>45706.57</v>
      </c>
      <c r="D30" s="18" t="n">
        <f aca="false">SUM(D27:D29)</f>
        <v>46008.83</v>
      </c>
      <c r="E30" s="18" t="n">
        <f aca="false">SUM(E27:E29)</f>
        <v>46644.13</v>
      </c>
      <c r="F30" s="18" t="n">
        <f aca="false">SUM(F27:F29)</f>
        <v>34177.86</v>
      </c>
      <c r="G30" s="18" t="n">
        <f aca="false">SUM(G27:G29)</f>
        <v>47318.680144</v>
      </c>
      <c r="H30" s="18" t="n">
        <f aca="false">SUM(H27:H29)</f>
        <v>51056.63557696</v>
      </c>
      <c r="I30" s="18" t="n">
        <f aca="false">SUM(I27:I29)</f>
        <v>55684.4077934848</v>
      </c>
      <c r="J30" s="18" t="n">
        <f aca="false">SUM(J27:J29)</f>
        <v>61185.2214107515</v>
      </c>
      <c r="K30" s="18" t="n">
        <f aca="false">SUM(K27:K29)</f>
        <v>67574.8829511166</v>
      </c>
    </row>
    <row r="31" customFormat="false" ht="15" hidden="false" customHeight="false" outlineLevel="0" collapsed="false">
      <c r="A31" s="4" t="s">
        <v>177</v>
      </c>
      <c r="B31" s="14" t="n">
        <v>9810.86</v>
      </c>
      <c r="C31" s="14" t="n">
        <v>9224.89</v>
      </c>
      <c r="D31" s="14" t="n">
        <v>10690.19</v>
      </c>
      <c r="E31" s="14" t="n">
        <v>11444.65</v>
      </c>
      <c r="F31" s="14" t="n">
        <v>8851.93</v>
      </c>
      <c r="G31" s="15" t="n">
        <f aca="false">F31</f>
        <v>8851.93</v>
      </c>
      <c r="H31" s="15" t="n">
        <f aca="false">G31</f>
        <v>8851.93</v>
      </c>
      <c r="I31" s="15" t="n">
        <f aca="false">H31</f>
        <v>8851.93</v>
      </c>
      <c r="J31" s="15" t="n">
        <f aca="false">I31</f>
        <v>8851.93</v>
      </c>
      <c r="K31" s="15" t="n">
        <f aca="false">J31</f>
        <v>8851.93</v>
      </c>
    </row>
    <row r="32" customFormat="false" ht="15" hidden="false" customHeight="false" outlineLevel="0" collapsed="false">
      <c r="A32" s="4" t="s">
        <v>178</v>
      </c>
      <c r="B32" s="14" t="n">
        <v>2840.1</v>
      </c>
      <c r="C32" s="14" t="n">
        <v>3984.79</v>
      </c>
      <c r="D32" s="14" t="n">
        <v>3863.72</v>
      </c>
      <c r="E32" s="14" t="n">
        <v>3792.88</v>
      </c>
      <c r="F32" s="14" t="n">
        <v>4252.76</v>
      </c>
      <c r="G32" s="15" t="n">
        <f aca="false">F32</f>
        <v>4252.76</v>
      </c>
      <c r="H32" s="15" t="n">
        <f aca="false">G32</f>
        <v>4252.76</v>
      </c>
      <c r="I32" s="15" t="n">
        <f aca="false">H32</f>
        <v>4252.76</v>
      </c>
      <c r="J32" s="15" t="n">
        <f aca="false">I32</f>
        <v>4252.76</v>
      </c>
      <c r="K32" s="15" t="n">
        <f aca="false">J32</f>
        <v>4252.76</v>
      </c>
    </row>
    <row r="33" customFormat="false" ht="15" hidden="false" customHeight="false" outlineLevel="0" collapsed="false">
      <c r="A33" s="4" t="s">
        <v>179</v>
      </c>
      <c r="B33" s="14" t="n">
        <v>49152.8</v>
      </c>
      <c r="C33" s="14" t="n">
        <v>43242.7</v>
      </c>
      <c r="D33" s="14" t="n">
        <v>54582.3</v>
      </c>
      <c r="E33" s="14" t="n">
        <v>65059.35</v>
      </c>
      <c r="F33" s="14" t="n">
        <v>79859.32</v>
      </c>
      <c r="G33" s="15" t="n">
        <f aca="false">F33*(1+'Assumptions &amp; Drivers'!$B$25)</f>
        <v>86248.0656</v>
      </c>
      <c r="H33" s="15" t="n">
        <f aca="false">G33*(1+'Assumptions &amp; Drivers'!$B$25)</f>
        <v>93147.910848</v>
      </c>
      <c r="I33" s="15" t="n">
        <f aca="false">H33*(1+'Assumptions &amp; Drivers'!$B$25)</f>
        <v>100599.74371584</v>
      </c>
      <c r="J33" s="15" t="n">
        <f aca="false">I33*(1+'Assumptions &amp; Drivers'!$B$25)</f>
        <v>108647.723213107</v>
      </c>
      <c r="K33" s="15" t="n">
        <f aca="false">J33*(1+'Assumptions &amp; Drivers'!$B$25)</f>
        <v>117339.541070156</v>
      </c>
    </row>
    <row r="34" customFormat="false" ht="15" hidden="false" customHeight="false" outlineLevel="0" collapsed="false">
      <c r="A34" s="4" t="s">
        <v>180</v>
      </c>
      <c r="B34" s="14" t="n">
        <v>6077.62</v>
      </c>
      <c r="C34" s="14" t="n">
        <v>5989.04</v>
      </c>
      <c r="D34" s="14" t="n">
        <v>6402.33</v>
      </c>
      <c r="E34" s="14" t="n">
        <v>7241.38</v>
      </c>
      <c r="F34" s="14" t="n">
        <v>7096.7</v>
      </c>
      <c r="G34" s="15" t="n">
        <f aca="false">F34</f>
        <v>7096.7</v>
      </c>
      <c r="H34" s="15" t="n">
        <f aca="false">G34</f>
        <v>7096.7</v>
      </c>
      <c r="I34" s="15" t="n">
        <f aca="false">H34</f>
        <v>7096.7</v>
      </c>
      <c r="J34" s="15" t="n">
        <f aca="false">I34</f>
        <v>7096.7</v>
      </c>
      <c r="K34" s="15" t="n">
        <f aca="false">J34</f>
        <v>7096.7</v>
      </c>
    </row>
    <row r="35" customFormat="false" ht="15.75" hidden="false" customHeight="true" outlineLevel="0" collapsed="false">
      <c r="A35" s="16" t="s">
        <v>181</v>
      </c>
      <c r="B35" s="18" t="n">
        <f aca="false">SUM(B30:B34)</f>
        <v>111867.75</v>
      </c>
      <c r="C35" s="18" t="n">
        <f aca="false">SUM(C30:C34)</f>
        <v>108147.99</v>
      </c>
      <c r="D35" s="18" t="n">
        <f aca="false">SUM(D30:D34)</f>
        <v>121547.37</v>
      </c>
      <c r="E35" s="18" t="n">
        <f aca="false">SUM(E30:E34)</f>
        <v>134182.39</v>
      </c>
      <c r="F35" s="18" t="n">
        <f aca="false">SUM(F30:F34)</f>
        <v>134238.57</v>
      </c>
      <c r="G35" s="18" t="n">
        <f aca="false">SUM(G30:G34)</f>
        <v>153768.135744</v>
      </c>
      <c r="H35" s="18" t="n">
        <f aca="false">SUM(H30:H34)</f>
        <v>164405.93642496</v>
      </c>
      <c r="I35" s="18" t="n">
        <f aca="false">SUM(I30:I34)</f>
        <v>176485.541509325</v>
      </c>
      <c r="J35" s="18" t="n">
        <f aca="false">SUM(J30:J34)</f>
        <v>190034.334623859</v>
      </c>
      <c r="K35" s="18" t="n">
        <f aca="false">SUM(K30:K34)</f>
        <v>205115.814021272</v>
      </c>
    </row>
    <row r="36" customFormat="false" ht="15.75" hidden="false" customHeight="true" outlineLevel="0" collapsed="false">
      <c r="A36" s="3" t="s">
        <v>182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false" outlineLevel="0" collapsed="false">
      <c r="A37" s="4" t="s">
        <v>183</v>
      </c>
      <c r="B37" s="14" t="n">
        <v>29792.51</v>
      </c>
      <c r="C37" s="14" t="n">
        <v>35573.42</v>
      </c>
      <c r="D37" s="14" t="n">
        <v>34957.63</v>
      </c>
      <c r="E37" s="14" t="n">
        <v>43360.62</v>
      </c>
      <c r="F37" s="14" t="n">
        <v>59524.86</v>
      </c>
      <c r="G37" s="15" t="n">
        <f aca="false">F37</f>
        <v>59524.86</v>
      </c>
      <c r="H37" s="15" t="n">
        <f aca="false">G37</f>
        <v>59524.86</v>
      </c>
      <c r="I37" s="15" t="n">
        <f aca="false">H37</f>
        <v>59524.86</v>
      </c>
      <c r="J37" s="15" t="n">
        <f aca="false">I37</f>
        <v>59524.86</v>
      </c>
      <c r="K37" s="15" t="n">
        <f aca="false">J37</f>
        <v>59524.86</v>
      </c>
    </row>
    <row r="38" customFormat="false" ht="15" hidden="false" customHeight="false" outlineLevel="0" collapsed="false">
      <c r="A38" s="4" t="s">
        <v>184</v>
      </c>
      <c r="B38" s="14" t="n">
        <v>5943.32</v>
      </c>
      <c r="C38" s="14" t="n">
        <v>6828.78</v>
      </c>
      <c r="D38" s="14" t="n">
        <v>6620.19</v>
      </c>
      <c r="E38" s="14" t="n">
        <v>7670.55</v>
      </c>
      <c r="F38" s="14" t="n">
        <v>9530.93</v>
      </c>
      <c r="G38" s="15" t="n">
        <f aca="false">'WC &amp; PPE Schedule'!G7</f>
        <v>10526.4421873973</v>
      </c>
      <c r="H38" s="15" t="n">
        <f aca="false">'WC &amp; PPE Schedule'!H7</f>
        <v>11789.6152498849</v>
      </c>
      <c r="I38" s="15" t="n">
        <f aca="false">'WC &amp; PPE Schedule'!I7</f>
        <v>13204.3690798711</v>
      </c>
      <c r="J38" s="15" t="n">
        <f aca="false">'WC &amp; PPE Schedule'!J7</f>
        <v>14788.8933694557</v>
      </c>
      <c r="K38" s="15" t="n">
        <f aca="false">'WC &amp; PPE Schedule'!K7</f>
        <v>16563.5605737903</v>
      </c>
    </row>
    <row r="39" customFormat="false" ht="15" hidden="false" customHeight="false" outlineLevel="0" collapsed="false">
      <c r="A39" s="4" t="s">
        <v>185</v>
      </c>
      <c r="B39" s="14" t="n">
        <v>46138.92</v>
      </c>
      <c r="C39" s="14" t="n">
        <v>44731.53</v>
      </c>
      <c r="D39" s="14" t="n">
        <v>48770.95</v>
      </c>
      <c r="E39" s="14" t="n">
        <v>53713.68</v>
      </c>
      <c r="F39" s="14" t="n">
        <v>60461.26</v>
      </c>
      <c r="G39" s="15" t="n">
        <f aca="false">'WC &amp; PPE Schedule'!G6</f>
        <v>67544.6707024658</v>
      </c>
      <c r="H39" s="15" t="n">
        <f aca="false">'WC &amp; PPE Schedule'!H6</f>
        <v>75650.0311867616</v>
      </c>
      <c r="I39" s="15" t="n">
        <f aca="false">'WC &amp; PPE Schedule'!I6</f>
        <v>84728.0349291731</v>
      </c>
      <c r="J39" s="15" t="n">
        <f aca="false">'WC &amp; PPE Schedule'!J6</f>
        <v>94895.3991206738</v>
      </c>
      <c r="K39" s="15" t="n">
        <f aca="false">'WC &amp; PPE Schedule'!K6</f>
        <v>106282.847015155</v>
      </c>
    </row>
    <row r="40" customFormat="false" ht="15" hidden="false" customHeight="false" outlineLevel="0" collapsed="false">
      <c r="A40" s="4" t="s">
        <v>186</v>
      </c>
      <c r="B40" s="14" t="n">
        <v>18953.17</v>
      </c>
      <c r="C40" s="14" t="n">
        <v>22519.6</v>
      </c>
      <c r="D40" s="14" t="n">
        <v>15358.39</v>
      </c>
      <c r="E40" s="14" t="n">
        <v>22965.34</v>
      </c>
      <c r="F40" s="14" t="n">
        <v>20847.67</v>
      </c>
      <c r="G40" s="15" t="n">
        <f aca="false">'Cash Flow Statement'!G21</f>
        <v>40173.6706642707</v>
      </c>
      <c r="H40" s="15" t="n">
        <f aca="false">'Cash Flow Statement'!H21</f>
        <v>67075.4613055384</v>
      </c>
      <c r="I40" s="15" t="n">
        <f aca="false">'Cash Flow Statement'!I21</f>
        <v>97211.8934324208</v>
      </c>
      <c r="J40" s="15" t="n">
        <f aca="false">'Cash Flow Statement'!J21</f>
        <v>131059.008053944</v>
      </c>
      <c r="K40" s="15" t="n">
        <f aca="false">'Cash Flow Statement'!K21</f>
        <v>178099.97246624</v>
      </c>
    </row>
    <row r="41" customFormat="false" ht="15" hidden="false" customHeight="false" outlineLevel="0" collapsed="false">
      <c r="A41" s="4" t="s">
        <v>187</v>
      </c>
      <c r="B41" s="14" t="n">
        <v>46389.58</v>
      </c>
      <c r="C41" s="14" t="n">
        <v>45641.8</v>
      </c>
      <c r="D41" s="14" t="n">
        <v>40485.05</v>
      </c>
      <c r="E41" s="14" t="n">
        <v>41914.25</v>
      </c>
      <c r="F41" s="14" t="n">
        <v>51173.23</v>
      </c>
      <c r="G41" s="15" t="n">
        <f aca="false">F41*(1+'Assumptions &amp; Drivers'!$B$25)</f>
        <v>55267.0884</v>
      </c>
      <c r="H41" s="15" t="n">
        <f aca="false">G41*(1+'Assumptions &amp; Drivers'!$B$25)</f>
        <v>59688.455472</v>
      </c>
      <c r="I41" s="15" t="n">
        <f aca="false">H41*(1+'Assumptions &amp; Drivers'!$B$25)</f>
        <v>64463.53190976</v>
      </c>
      <c r="J41" s="15" t="n">
        <f aca="false">I41*(1+'Assumptions &amp; Drivers'!$B$25)</f>
        <v>69620.6144625408</v>
      </c>
      <c r="K41" s="15" t="n">
        <f aca="false">J41*(1+'Assumptions &amp; Drivers'!$B$25)</f>
        <v>75190.2636195441</v>
      </c>
    </row>
    <row r="42" customFormat="false" ht="15" hidden="false" customHeight="false" outlineLevel="0" collapsed="false">
      <c r="A42" s="4" t="s">
        <v>188</v>
      </c>
      <c r="B42" s="14" t="n">
        <v>60963.67</v>
      </c>
      <c r="C42" s="14" t="n">
        <v>66909.19</v>
      </c>
      <c r="D42" s="14" t="n">
        <v>71887.66</v>
      </c>
      <c r="E42" s="14" t="n">
        <v>75717.27</v>
      </c>
      <c r="F42" s="14" t="n">
        <v>116773.37</v>
      </c>
      <c r="G42" s="15" t="n">
        <f aca="false">F42*(1+'Assumptions &amp; Drivers'!$B$25)</f>
        <v>126115.2396</v>
      </c>
      <c r="H42" s="15" t="n">
        <f aca="false">G42*(1+'Assumptions &amp; Drivers'!$B$25)</f>
        <v>136204.458768</v>
      </c>
      <c r="I42" s="15" t="n">
        <f aca="false">H42*(1+'Assumptions &amp; Drivers'!$B$25)</f>
        <v>147100.81546944</v>
      </c>
      <c r="J42" s="15" t="n">
        <f aca="false">I42*(1+'Assumptions &amp; Drivers'!$B$25)</f>
        <v>158868.880706995</v>
      </c>
      <c r="K42" s="15" t="n">
        <f aca="false">J42*(1+'Assumptions &amp; Drivers'!$B$25)</f>
        <v>171578.391163555</v>
      </c>
    </row>
    <row r="43" customFormat="false" ht="15" hidden="false" customHeight="false" outlineLevel="0" collapsed="false">
      <c r="A43" s="4" t="s">
        <v>189</v>
      </c>
      <c r="B43" s="14" t="n">
        <v>0</v>
      </c>
      <c r="C43" s="14" t="n">
        <v>0</v>
      </c>
      <c r="D43" s="14" t="n">
        <v>0</v>
      </c>
      <c r="E43" s="14" t="n">
        <v>0</v>
      </c>
      <c r="F43" s="14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</row>
    <row r="44" customFormat="false" ht="15.75" hidden="false" customHeight="true" outlineLevel="0" collapsed="false">
      <c r="A44" s="16" t="s">
        <v>190</v>
      </c>
      <c r="B44" s="18" t="n">
        <f aca="false">SUM(B37:B43)</f>
        <v>208181.17</v>
      </c>
      <c r="C44" s="18" t="n">
        <f aca="false">SUM(C37:C43)</f>
        <v>222204.32</v>
      </c>
      <c r="D44" s="18" t="n">
        <f aca="false">SUM(D37:D43)</f>
        <v>218079.87</v>
      </c>
      <c r="E44" s="18" t="n">
        <f aca="false">SUM(E37:E43)</f>
        <v>245341.71</v>
      </c>
      <c r="F44" s="18" t="n">
        <f aca="false">SUM(F37:F43)</f>
        <v>318311.32</v>
      </c>
      <c r="G44" s="18" t="n">
        <f aca="false">SUM(G37:G43)</f>
        <v>359151.971554134</v>
      </c>
      <c r="H44" s="18" t="n">
        <f aca="false">SUM(H37:H43)</f>
        <v>409932.881982185</v>
      </c>
      <c r="I44" s="18" t="n">
        <f aca="false">SUM(I37:I43)</f>
        <v>466233.504820665</v>
      </c>
      <c r="J44" s="18" t="n">
        <f aca="false">SUM(J37:J43)</f>
        <v>528757.655713609</v>
      </c>
      <c r="K44" s="18" t="n">
        <f aca="false">SUM(K37:K43)</f>
        <v>607239.894838284</v>
      </c>
    </row>
    <row r="45" customFormat="false" ht="15.75" hidden="false" customHeight="true" outlineLevel="0" collapsed="false">
      <c r="A45" s="19" t="s">
        <v>191</v>
      </c>
      <c r="B45" s="20" t="n">
        <f aca="false">B35+B44</f>
        <v>320048.92</v>
      </c>
      <c r="C45" s="20" t="n">
        <f aca="false">C35+C44</f>
        <v>330352.31</v>
      </c>
      <c r="D45" s="20" t="n">
        <f aca="false">D35+D44</f>
        <v>339627.24</v>
      </c>
      <c r="E45" s="20" t="n">
        <f aca="false">E35+E44</f>
        <v>379524.1</v>
      </c>
      <c r="F45" s="20" t="n">
        <f aca="false">F35+F44</f>
        <v>452549.89</v>
      </c>
      <c r="G45" s="20" t="n">
        <f aca="false">G35+G44</f>
        <v>512920.107298134</v>
      </c>
      <c r="H45" s="20" t="n">
        <f aca="false">H35+H44</f>
        <v>574338.818407145</v>
      </c>
      <c r="I45" s="20" t="n">
        <f aca="false">I35+I44</f>
        <v>642719.04632999</v>
      </c>
      <c r="J45" s="20" t="n">
        <f aca="false">J35+J44</f>
        <v>718791.990337468</v>
      </c>
      <c r="K45" s="20" t="n">
        <f aca="false">K35+K44</f>
        <v>812355.708859556</v>
      </c>
    </row>
    <row r="46" customFormat="false" ht="15.75" hidden="false" customHeight="true" outlineLevel="0" collapsed="false">
      <c r="A46" s="23" t="s">
        <v>192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customFormat="false" ht="15.75" hidden="false" customHeight="true" outlineLevel="0" collapsed="false">
      <c r="A47" s="21" t="s">
        <v>193</v>
      </c>
      <c r="B47" s="22" t="n">
        <f aca="false">B12+B18</f>
        <v>132342.8</v>
      </c>
      <c r="C47" s="22" t="n">
        <f aca="false">C12+C18</f>
        <v>128365.34</v>
      </c>
      <c r="D47" s="22" t="n">
        <f aca="false">D12+D18</f>
        <v>123993.96</v>
      </c>
      <c r="E47" s="22" t="n">
        <f aca="false">E12+E18</f>
        <v>138934.47</v>
      </c>
      <c r="F47" s="22" t="n">
        <f aca="false">F12+F18</f>
        <v>159535.37</v>
      </c>
      <c r="G47" s="22" t="n">
        <f aca="false">G12+G18</f>
        <v>172298.1996</v>
      </c>
      <c r="H47" s="22" t="n">
        <f aca="false">H12+H18</f>
        <v>186082.055568</v>
      </c>
      <c r="I47" s="22" t="n">
        <f aca="false">I12+I18</f>
        <v>200968.62001344</v>
      </c>
      <c r="J47" s="22" t="n">
        <f aca="false">J12+J18</f>
        <v>217046.109614515</v>
      </c>
      <c r="K47" s="22" t="n">
        <f aca="false">K12+K18</f>
        <v>234409.798383677</v>
      </c>
    </row>
    <row r="48" customFormat="false" ht="15.75" hidden="false" customHeight="true" outlineLevel="0" collapsed="false">
      <c r="A48" s="21" t="s">
        <v>194</v>
      </c>
      <c r="B48" s="22" t="n">
        <f aca="false">B37+B40</f>
        <v>48745.68</v>
      </c>
      <c r="C48" s="22" t="n">
        <f aca="false">C37+C40</f>
        <v>58093.02</v>
      </c>
      <c r="D48" s="22" t="n">
        <f aca="false">D37+D40</f>
        <v>50316.02</v>
      </c>
      <c r="E48" s="22" t="n">
        <f aca="false">E37+E40</f>
        <v>66325.96</v>
      </c>
      <c r="F48" s="22" t="n">
        <f aca="false">F37+F40</f>
        <v>80372.53</v>
      </c>
      <c r="G48" s="22" t="n">
        <f aca="false">G37+G40</f>
        <v>99698.5306642707</v>
      </c>
      <c r="H48" s="22" t="n">
        <f aca="false">H37+H40</f>
        <v>126600.321305538</v>
      </c>
      <c r="I48" s="22" t="n">
        <f aca="false">I37+I40</f>
        <v>156736.753432421</v>
      </c>
      <c r="J48" s="22" t="n">
        <f aca="false">J37+J40</f>
        <v>190583.868053944</v>
      </c>
      <c r="K48" s="22" t="n">
        <f aca="false">K37+K40</f>
        <v>237624.83246624</v>
      </c>
    </row>
    <row r="49" customFormat="false" ht="15.75" hidden="false" customHeight="true" outlineLevel="0" collapsed="false">
      <c r="A49" s="21" t="s">
        <v>195</v>
      </c>
      <c r="B49" s="22" t="n">
        <f aca="false">B47-B48</f>
        <v>83597.12</v>
      </c>
      <c r="C49" s="22" t="n">
        <f aca="false">C47-C48</f>
        <v>70272.32</v>
      </c>
      <c r="D49" s="22" t="n">
        <f aca="false">D47-D48</f>
        <v>73677.94</v>
      </c>
      <c r="E49" s="22" t="n">
        <f aca="false">E47-E48</f>
        <v>72608.51</v>
      </c>
      <c r="F49" s="22" t="n">
        <f aca="false">F47-F48</f>
        <v>79162.84</v>
      </c>
      <c r="G49" s="22" t="n">
        <f aca="false">G47-G48</f>
        <v>72599.6689357293</v>
      </c>
      <c r="H49" s="22" t="n">
        <f aca="false">H47-H48</f>
        <v>59481.7342624616</v>
      </c>
      <c r="I49" s="22" t="n">
        <f aca="false">I47-I48</f>
        <v>44231.8665810192</v>
      </c>
      <c r="J49" s="22" t="n">
        <f aca="false">J47-J48</f>
        <v>26462.2415605717</v>
      </c>
      <c r="K49" s="22" t="n">
        <f aca="false">K47-K48</f>
        <v>-3215.03408256313</v>
      </c>
    </row>
    <row r="50" customFormat="false" ht="15.75" hidden="false" customHeight="true" outlineLevel="0" collapsed="false">
      <c r="A50" s="16" t="s">
        <v>196</v>
      </c>
      <c r="B50" s="18" t="n">
        <f aca="false">B45-B24</f>
        <v>0</v>
      </c>
      <c r="C50" s="18" t="n">
        <f aca="false">C45-C24</f>
        <v>0</v>
      </c>
      <c r="D50" s="18" t="n">
        <f aca="false">D45-D24</f>
        <v>0</v>
      </c>
      <c r="E50" s="18" t="n">
        <f aca="false">E45-E24</f>
        <v>0</v>
      </c>
      <c r="F50" s="18" t="n">
        <f aca="false">F45-F24</f>
        <v>0</v>
      </c>
      <c r="G50" s="18" t="n">
        <f aca="false">G45-G24</f>
        <v>0</v>
      </c>
      <c r="H50" s="18" t="n">
        <f aca="false">H45-H24</f>
        <v>0</v>
      </c>
      <c r="I50" s="18" t="n">
        <f aca="false">I45-I24</f>
        <v>0</v>
      </c>
      <c r="J50" s="18" t="n">
        <f aca="false">J45-J24</f>
        <v>0</v>
      </c>
      <c r="K50" s="18" t="n">
        <f aca="false">K45-K24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11" min="2" style="0" width="14"/>
  </cols>
  <sheetData>
    <row r="1" customFormat="false" ht="24" hidden="false" customHeight="true" outlineLevel="0" collapsed="false">
      <c r="A1" s="8" t="s">
        <v>197</v>
      </c>
    </row>
    <row r="3" customFormat="false" ht="18" hidden="false" customHeight="true" outlineLevel="0" collapsed="false">
      <c r="A3" s="9" t="s">
        <v>114</v>
      </c>
      <c r="B3" s="12" t="s">
        <v>115</v>
      </c>
      <c r="C3" s="12" t="s">
        <v>116</v>
      </c>
      <c r="D3" s="12" t="s">
        <v>117</v>
      </c>
      <c r="E3" s="12" t="s">
        <v>118</v>
      </c>
      <c r="F3" s="12" t="s">
        <v>119</v>
      </c>
      <c r="G3" s="12" t="s">
        <v>120</v>
      </c>
      <c r="H3" s="12" t="s">
        <v>121</v>
      </c>
      <c r="I3" s="12" t="s">
        <v>122</v>
      </c>
      <c r="J3" s="12" t="s">
        <v>123</v>
      </c>
      <c r="K3" s="12" t="s">
        <v>124</v>
      </c>
    </row>
    <row r="4" customFormat="false" ht="15.75" hidden="false" customHeight="true" outlineLevel="0" collapsed="false">
      <c r="A4" s="3" t="s">
        <v>198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A5" s="4" t="s">
        <v>199</v>
      </c>
      <c r="B5" s="14" t="n">
        <v>14410.73</v>
      </c>
      <c r="C5" s="14" t="n">
        <v>17200.5</v>
      </c>
      <c r="D5" s="14" t="n">
        <v>20150.8</v>
      </c>
      <c r="E5" s="14" t="n">
        <v>23578.79</v>
      </c>
      <c r="F5" s="14" t="n">
        <v>25975.81</v>
      </c>
      <c r="G5" s="15" t="n">
        <f aca="false">'Income Statement'!G17</f>
        <v>60288.1932336</v>
      </c>
      <c r="H5" s="15" t="n">
        <f aca="false">'Income Statement'!H17</f>
        <v>68653.300861888</v>
      </c>
      <c r="I5" s="15" t="n">
        <f aca="false">'Income Statement'!I17</f>
        <v>77892.0322949863</v>
      </c>
      <c r="J5" s="15" t="n">
        <f aca="false">'Income Statement'!J17</f>
        <v>88160.5839590505</v>
      </c>
      <c r="K5" s="15" t="n">
        <f aca="false">'Income Statement'!K17</f>
        <v>99620.7073013827</v>
      </c>
    </row>
    <row r="6" customFormat="false" ht="15" hidden="false" customHeight="false" outlineLevel="0" collapsed="false">
      <c r="A6" s="4" t="s">
        <v>200</v>
      </c>
      <c r="B6" s="14" t="n">
        <v>2947.95</v>
      </c>
      <c r="C6" s="14" t="n">
        <v>3502.4</v>
      </c>
      <c r="D6" s="14" t="n">
        <v>3810.5</v>
      </c>
      <c r="E6" s="14" t="n">
        <v>4121.18</v>
      </c>
      <c r="F6" s="14" t="n">
        <v>4364.75</v>
      </c>
      <c r="G6" s="15" t="n">
        <f aca="false">'Income Statement'!G12</f>
        <v>11617.8076</v>
      </c>
      <c r="H6" s="15" t="n">
        <f aca="false">'Income Statement'!H12</f>
        <v>12399.08044032</v>
      </c>
      <c r="I6" s="15" t="n">
        <f aca="false">'Income Statement'!I12</f>
        <v>13445.7079615488</v>
      </c>
      <c r="J6" s="15" t="n">
        <f aca="false">'Income Statement'!J12</f>
        <v>14741.4841821757</v>
      </c>
      <c r="K6" s="15" t="n">
        <f aca="false">'Income Statement'!K12</f>
        <v>16281.7119950104</v>
      </c>
    </row>
    <row r="7" customFormat="false" ht="15" hidden="false" customHeight="false" outlineLevel="0" collapsed="false">
      <c r="A7" s="4" t="s">
        <v>201</v>
      </c>
      <c r="B7" s="14" t="n">
        <v>-3060.93</v>
      </c>
      <c r="C7" s="14" t="n">
        <v>-8016.59</v>
      </c>
      <c r="D7" s="14" t="n">
        <v>1710.2</v>
      </c>
      <c r="E7" s="14" t="n">
        <v>2712.11</v>
      </c>
      <c r="F7" s="14" t="n">
        <v>-1774.14</v>
      </c>
      <c r="G7" s="15" t="n">
        <f aca="false">'WC &amp; PPE Schedule'!G10</f>
        <v>2095.05054684931</v>
      </c>
      <c r="H7" s="15" t="n">
        <f aca="false">'WC &amp; PPE Schedule'!H10</f>
        <v>315.793265621905</v>
      </c>
      <c r="I7" s="15" t="n">
        <f aca="false">'WC &amp; PPE Schedule'!I10</f>
        <v>353.688457496566</v>
      </c>
      <c r="J7" s="15" t="n">
        <f aca="false">'WC &amp; PPE Schedule'!J10</f>
        <v>396.131072396136</v>
      </c>
      <c r="K7" s="15" t="n">
        <f aca="false">'WC &amp; PPE Schedule'!K10</f>
        <v>443.666801083658</v>
      </c>
    </row>
    <row r="8" customFormat="false" ht="15" hidden="false" customHeight="false" outlineLevel="0" collapsed="false">
      <c r="A8" s="4" t="s">
        <v>202</v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5" t="n">
        <f aca="false">('Balance Sheet'!G33-'Balance Sheet'!F33)+('Balance Sheet'!G41-'Balance Sheet'!F41)+('Balance Sheet'!G42-'Balance Sheet'!F42)-('Balance Sheet'!G20-'Balance Sheet'!F20)</f>
        <v>12705.8352</v>
      </c>
      <c r="H8" s="15" t="n">
        <f aca="false">('Balance Sheet'!H33-'Balance Sheet'!G33)+('Balance Sheet'!H41-'Balance Sheet'!G41)+('Balance Sheet'!H42-'Balance Sheet'!G42)-('Balance Sheet'!H20-'Balance Sheet'!G20)</f>
        <v>13722.302016</v>
      </c>
      <c r="I8" s="15" t="n">
        <f aca="false">('Balance Sheet'!I33-'Balance Sheet'!H33)+('Balance Sheet'!I41-'Balance Sheet'!H41)+('Balance Sheet'!I42-'Balance Sheet'!H42)-('Balance Sheet'!I20-'Balance Sheet'!H20)</f>
        <v>14820.08617728</v>
      </c>
      <c r="J8" s="15" t="n">
        <f aca="false">('Balance Sheet'!J33-'Balance Sheet'!I33)+('Balance Sheet'!J41-'Balance Sheet'!I41)+('Balance Sheet'!J42-'Balance Sheet'!I42)-('Balance Sheet'!J20-'Balance Sheet'!I20)</f>
        <v>16005.6930714624</v>
      </c>
      <c r="K8" s="15" t="n">
        <f aca="false">('Balance Sheet'!K33-'Balance Sheet'!J33)+('Balance Sheet'!K41-'Balance Sheet'!J41)+('Balance Sheet'!K42-'Balance Sheet'!J42)-('Balance Sheet'!K20-'Balance Sheet'!I20)</f>
        <v>8318.71430103859</v>
      </c>
    </row>
    <row r="9" customFormat="false" ht="15" hidden="false" customHeight="false" outlineLevel="0" collapsed="false">
      <c r="A9" s="4" t="s">
        <v>203</v>
      </c>
      <c r="B9" s="14" t="n">
        <v>-4512.09</v>
      </c>
      <c r="C9" s="14" t="n">
        <v>-4980.2</v>
      </c>
      <c r="D9" s="14" t="n">
        <v>-5520.4</v>
      </c>
      <c r="E9" s="14" t="n">
        <v>-6100.82</v>
      </c>
      <c r="F9" s="14" t="n">
        <v>-6752.96</v>
      </c>
      <c r="G9" s="15" t="n">
        <f aca="false">'Income Statement'!G18</f>
        <v>15072.0483084</v>
      </c>
      <c r="H9" s="15" t="n">
        <f aca="false">'Income Statement'!H18</f>
        <v>17163.325215472</v>
      </c>
      <c r="I9" s="15" t="n">
        <f aca="false">'Income Statement'!I18</f>
        <v>19473.0080737466</v>
      </c>
      <c r="J9" s="15" t="n">
        <f aca="false">'Income Statement'!J18</f>
        <v>22040.1459897626</v>
      </c>
      <c r="K9" s="15" t="n">
        <f aca="false">'Income Statement'!K18</f>
        <v>24905.1768253457</v>
      </c>
    </row>
    <row r="10" customFormat="false" ht="15.75" hidden="false" customHeight="true" outlineLevel="0" collapsed="false">
      <c r="A10" s="19" t="s">
        <v>204</v>
      </c>
      <c r="B10" s="20" t="n">
        <v>14297.75</v>
      </c>
      <c r="C10" s="20" t="n">
        <v>12686.31</v>
      </c>
      <c r="D10" s="20" t="n">
        <v>25671.5</v>
      </c>
      <c r="E10" s="20" t="n">
        <v>30412.08</v>
      </c>
      <c r="F10" s="20" t="n">
        <v>28566.42</v>
      </c>
      <c r="G10" s="20" t="n">
        <f aca="false">G5+G6-G7-G8-G9</f>
        <v>42033.0667783507</v>
      </c>
      <c r="H10" s="20" t="n">
        <f aca="false">H5+H6-H7-H8-H9</f>
        <v>49850.9608051141</v>
      </c>
      <c r="I10" s="20" t="n">
        <f aca="false">I5+I6-I7-I8-I9</f>
        <v>56690.9575480119</v>
      </c>
      <c r="J10" s="20" t="n">
        <f aca="false">J5+J6-J7-J8-J9</f>
        <v>64460.0980076051</v>
      </c>
      <c r="K10" s="20" t="n">
        <f aca="false">K5+K6-K7-K8-K9</f>
        <v>82234.8613689252</v>
      </c>
    </row>
    <row r="11" customFormat="false" ht="15.75" hidden="false" customHeight="true" outlineLevel="0" collapsed="false">
      <c r="A11" s="3" t="s">
        <v>205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4" t="s">
        <v>206</v>
      </c>
      <c r="B12" s="14" t="n">
        <v>-2150.4</v>
      </c>
      <c r="C12" s="14" t="n">
        <v>-2850.6</v>
      </c>
      <c r="D12" s="14" t="n">
        <v>-3450.8</v>
      </c>
      <c r="E12" s="14" t="n">
        <v>-4120.5</v>
      </c>
      <c r="F12" s="14" t="n">
        <v>-4850.6</v>
      </c>
      <c r="G12" s="15" t="n">
        <f aca="false">-'WC &amp; PPE Schedule'!G18</f>
        <v>-14408.067744</v>
      </c>
      <c r="H12" s="15" t="n">
        <f aca="false">-'WC &amp; PPE Schedule'!H18</f>
        <v>-16137.03587328</v>
      </c>
      <c r="I12" s="15" t="n">
        <f aca="false">-'WC &amp; PPE Schedule'!I18</f>
        <v>-18073.4801780736</v>
      </c>
      <c r="J12" s="15" t="n">
        <f aca="false">-'WC &amp; PPE Schedule'!J18</f>
        <v>-20242.2977994424</v>
      </c>
      <c r="K12" s="15" t="n">
        <f aca="false">-'WC &amp; PPE Schedule'!K18</f>
        <v>-22671.3735353755</v>
      </c>
    </row>
    <row r="13" customFormat="false" ht="15.75" hidden="false" customHeight="true" outlineLevel="0" collapsed="false">
      <c r="A13" s="16" t="s">
        <v>207</v>
      </c>
      <c r="B13" s="18" t="n">
        <v>1400.8</v>
      </c>
      <c r="C13" s="18" t="n">
        <v>-4837.8</v>
      </c>
      <c r="D13" s="18" t="n">
        <v>-5419.4</v>
      </c>
      <c r="E13" s="18" t="n">
        <v>-4460.11</v>
      </c>
      <c r="F13" s="18" t="n">
        <v>-17343.74</v>
      </c>
      <c r="G13" s="18" t="n">
        <f aca="false">G12</f>
        <v>-14408.067744</v>
      </c>
      <c r="H13" s="18" t="n">
        <f aca="false">H12</f>
        <v>-16137.03587328</v>
      </c>
      <c r="I13" s="18" t="n">
        <f aca="false">I12</f>
        <v>-18073.4801780736</v>
      </c>
      <c r="J13" s="18" t="n">
        <f aca="false">J12</f>
        <v>-20242.2977994424</v>
      </c>
      <c r="K13" s="18" t="n">
        <f aca="false">K12</f>
        <v>-22671.3735353755</v>
      </c>
    </row>
    <row r="14" customFormat="false" ht="15.75" hidden="false" customHeight="true" outlineLevel="0" collapsed="false">
      <c r="A14" s="3" t="s">
        <v>208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4" t="s">
        <v>209</v>
      </c>
      <c r="B15" s="14" t="n">
        <v>-17631.6</v>
      </c>
      <c r="C15" s="14" t="n">
        <v>-195.91</v>
      </c>
      <c r="D15" s="14" t="n">
        <v>500.2</v>
      </c>
      <c r="E15" s="14" t="n">
        <v>702.48</v>
      </c>
      <c r="F15" s="14" t="n">
        <v>-10715.32</v>
      </c>
      <c r="G15" s="15" t="n">
        <f aca="false">('Balance Sheet'!G47-'Balance Sheet'!F47)</f>
        <v>12762.8296</v>
      </c>
      <c r="H15" s="15" t="n">
        <f aca="false">('Balance Sheet'!H47-'Balance Sheet'!G47)</f>
        <v>13783.855968</v>
      </c>
      <c r="I15" s="15" t="n">
        <f aca="false">('Balance Sheet'!I47-'Balance Sheet'!H47)</f>
        <v>14886.56444544</v>
      </c>
      <c r="J15" s="15" t="n">
        <f aca="false">('Balance Sheet'!J47-'Balance Sheet'!I47)</f>
        <v>16077.4896010752</v>
      </c>
      <c r="K15" s="15" t="n">
        <f aca="false">('Balance Sheet'!K47-'Balance Sheet'!J47)</f>
        <v>17363.6887691612</v>
      </c>
    </row>
    <row r="16" customFormat="false" ht="15" hidden="false" customHeight="false" outlineLevel="0" collapsed="false">
      <c r="A16" s="4" t="s">
        <v>210</v>
      </c>
      <c r="B16" s="14" t="n">
        <v>-2520.4</v>
      </c>
      <c r="C16" s="14" t="n">
        <v>-3080.5</v>
      </c>
      <c r="D16" s="14" t="n">
        <v>-3920.6</v>
      </c>
      <c r="E16" s="14" t="n">
        <v>-4900.2</v>
      </c>
      <c r="F16" s="14" t="n">
        <v>-5600.4</v>
      </c>
      <c r="G16" s="15" t="n">
        <f aca="false">-'Income Statement'!G28</f>
        <v>-18086.45797008</v>
      </c>
      <c r="H16" s="15" t="n">
        <f aca="false">-'Income Statement'!H28</f>
        <v>-20595.9902585664</v>
      </c>
      <c r="I16" s="15" t="n">
        <f aca="false">-'Income Statement'!I28</f>
        <v>-23367.6096884959</v>
      </c>
      <c r="J16" s="15" t="n">
        <f aca="false">-'Income Statement'!J28</f>
        <v>-26448.1751877152</v>
      </c>
      <c r="K16" s="15" t="n">
        <f aca="false">-'Income Statement'!K28</f>
        <v>-29886.2121904148</v>
      </c>
    </row>
    <row r="17" customFormat="false" ht="15.75" hidden="false" customHeight="true" outlineLevel="0" collapsed="false">
      <c r="A17" s="16" t="s">
        <v>211</v>
      </c>
      <c r="B17" s="18" t="n">
        <f aca="false">B15+B16</f>
        <v>-20152</v>
      </c>
      <c r="C17" s="18" t="n">
        <f aca="false">C15+C16</f>
        <v>-3276.41</v>
      </c>
      <c r="D17" s="18" t="n">
        <f aca="false">D15+D16</f>
        <v>-3420.4</v>
      </c>
      <c r="E17" s="18" t="n">
        <f aca="false">E15+E16</f>
        <v>-4197.72</v>
      </c>
      <c r="F17" s="18" t="n">
        <f aca="false">F15+F16</f>
        <v>-16315.72</v>
      </c>
      <c r="G17" s="18" t="n">
        <f aca="false">G15+G16</f>
        <v>-5323.62837008001</v>
      </c>
      <c r="H17" s="18" t="n">
        <f aca="false">H15+H16</f>
        <v>-6812.1342905664</v>
      </c>
      <c r="I17" s="18" t="n">
        <f aca="false">I15+I16</f>
        <v>-8481.04524305586</v>
      </c>
      <c r="J17" s="18" t="n">
        <f aca="false">J15+J16</f>
        <v>-10370.6855866399</v>
      </c>
      <c r="K17" s="18" t="n">
        <f aca="false">K15+K16</f>
        <v>-12522.5234212536</v>
      </c>
    </row>
    <row r="18" customFormat="false" ht="15.75" hidden="false" customHeight="true" outlineLevel="0" collapsed="false">
      <c r="A18" s="3" t="s">
        <v>212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.75" hidden="false" customHeight="true" outlineLevel="0" collapsed="false">
      <c r="A19" s="16" t="s">
        <v>213</v>
      </c>
      <c r="B19" s="18" t="n">
        <f aca="false">B10+B13+B17</f>
        <v>-4453.45</v>
      </c>
      <c r="C19" s="18" t="n">
        <f aca="false">C10+C13+C17</f>
        <v>4572.1</v>
      </c>
      <c r="D19" s="18" t="n">
        <f aca="false">D10+D13+D17</f>
        <v>16831.7</v>
      </c>
      <c r="E19" s="18" t="n">
        <f aca="false">E10+E13+E17</f>
        <v>21754.25</v>
      </c>
      <c r="F19" s="18" t="n">
        <f aca="false">F10+F13+F17</f>
        <v>-5093.04</v>
      </c>
      <c r="G19" s="18" t="n">
        <f aca="false">G10+G13+G17</f>
        <v>22301.3706642707</v>
      </c>
      <c r="H19" s="18" t="n">
        <f aca="false">H10+H13+H17</f>
        <v>26901.7906412677</v>
      </c>
      <c r="I19" s="18" t="n">
        <f aca="false">I10+I13+I17</f>
        <v>30136.4321268824</v>
      </c>
      <c r="J19" s="18" t="n">
        <f aca="false">J10+J13+J17</f>
        <v>33847.1146215227</v>
      </c>
      <c r="K19" s="18" t="n">
        <f aca="false">K10+K13+K17</f>
        <v>47040.9644122961</v>
      </c>
    </row>
    <row r="20" customFormat="false" ht="15" hidden="false" customHeight="false" outlineLevel="0" collapsed="false">
      <c r="A20" s="4" t="s">
        <v>214</v>
      </c>
      <c r="B20" s="14" t="n">
        <v>13373.52</v>
      </c>
      <c r="C20" s="14" t="n">
        <v>18953.17</v>
      </c>
      <c r="D20" s="14" t="n">
        <v>22519.6</v>
      </c>
      <c r="E20" s="14" t="n">
        <v>15358.39</v>
      </c>
      <c r="F20" s="14" t="n">
        <v>22965.34</v>
      </c>
      <c r="G20" s="15" t="n">
        <f aca="false">F21</f>
        <v>17872.3</v>
      </c>
      <c r="H20" s="15" t="n">
        <f aca="false">G21</f>
        <v>40173.6706642707</v>
      </c>
      <c r="I20" s="15" t="n">
        <f aca="false">H21</f>
        <v>67075.4613055384</v>
      </c>
      <c r="J20" s="15" t="n">
        <f aca="false">I21</f>
        <v>97211.8934324208</v>
      </c>
      <c r="K20" s="15" t="n">
        <f aca="false">J21</f>
        <v>131059.008053944</v>
      </c>
    </row>
    <row r="21" customFormat="false" ht="15.75" hidden="false" customHeight="true" outlineLevel="0" collapsed="false">
      <c r="A21" s="19" t="s">
        <v>215</v>
      </c>
      <c r="B21" s="20" t="n">
        <f aca="false">B19+B20</f>
        <v>8920.07</v>
      </c>
      <c r="C21" s="20" t="n">
        <f aca="false">C19+C20</f>
        <v>23525.27</v>
      </c>
      <c r="D21" s="20" t="n">
        <f aca="false">D19+D20</f>
        <v>39351.3</v>
      </c>
      <c r="E21" s="20" t="n">
        <f aca="false">E19+E20</f>
        <v>37112.64</v>
      </c>
      <c r="F21" s="20" t="n">
        <f aca="false">F19+F20</f>
        <v>17872.3</v>
      </c>
      <c r="G21" s="20" t="n">
        <f aca="false">G19+G20</f>
        <v>40173.6706642707</v>
      </c>
      <c r="H21" s="20" t="n">
        <f aca="false">H19+H20</f>
        <v>67075.4613055384</v>
      </c>
      <c r="I21" s="20" t="n">
        <f aca="false">I19+I20</f>
        <v>97211.8934324208</v>
      </c>
      <c r="J21" s="20" t="n">
        <f aca="false">J19+J20</f>
        <v>131059.008053944</v>
      </c>
      <c r="K21" s="20" t="n">
        <f aca="false">K19+K20</f>
        <v>178099.97246624</v>
      </c>
    </row>
    <row r="22" customFormat="false" ht="15.75" hidden="false" customHeight="true" outlineLevel="0" collapsed="false">
      <c r="A22" s="21" t="s">
        <v>216</v>
      </c>
      <c r="B22" s="22" t="n">
        <f aca="false">B10+B12</f>
        <v>12147.35</v>
      </c>
      <c r="C22" s="22" t="n">
        <f aca="false">C10+C12</f>
        <v>9835.71</v>
      </c>
      <c r="D22" s="22" t="n">
        <f aca="false">D10+D12</f>
        <v>22220.7</v>
      </c>
      <c r="E22" s="22" t="n">
        <f aca="false">E10+E12</f>
        <v>26291.58</v>
      </c>
      <c r="F22" s="22" t="n">
        <f aca="false">F10+F12</f>
        <v>23715.82</v>
      </c>
      <c r="G22" s="22" t="n">
        <f aca="false">G10+G12</f>
        <v>27624.9990343507</v>
      </c>
      <c r="H22" s="22" t="n">
        <f aca="false">H10+H12</f>
        <v>33713.9249318341</v>
      </c>
      <c r="I22" s="22" t="n">
        <f aca="false">I10+I12</f>
        <v>38617.4773699383</v>
      </c>
      <c r="J22" s="22" t="n">
        <f aca="false">J10+J12</f>
        <v>44217.8002081627</v>
      </c>
      <c r="K22" s="22" t="n">
        <f aca="false">K10+K12</f>
        <v>59563.4878335497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4"/>
  </cols>
  <sheetData>
    <row r="1" customFormat="false" ht="24" hidden="false" customHeight="true" outlineLevel="0" collapsed="false">
      <c r="A1" s="8" t="s">
        <v>217</v>
      </c>
    </row>
    <row r="3" customFormat="false" ht="18" hidden="false" customHeight="true" outlineLevel="0" collapsed="false">
      <c r="A3" s="9" t="s">
        <v>114</v>
      </c>
      <c r="B3" s="12" t="s">
        <v>115</v>
      </c>
      <c r="C3" s="12" t="s">
        <v>116</v>
      </c>
      <c r="D3" s="12" t="s">
        <v>117</v>
      </c>
      <c r="E3" s="12" t="s">
        <v>118</v>
      </c>
      <c r="F3" s="12" t="s">
        <v>119</v>
      </c>
      <c r="G3" s="12" t="s">
        <v>120</v>
      </c>
      <c r="H3" s="12" t="s">
        <v>121</v>
      </c>
      <c r="I3" s="12" t="s">
        <v>122</v>
      </c>
      <c r="J3" s="12" t="s">
        <v>123</v>
      </c>
      <c r="K3" s="12" t="s">
        <v>124</v>
      </c>
    </row>
    <row r="4" customFormat="false" ht="15" hidden="false" customHeight="false" outlineLevel="0" collapsed="false">
      <c r="A4" s="4" t="s">
        <v>126</v>
      </c>
      <c r="B4" s="24" t="n">
        <f aca="false">'Income Statement'!B5</f>
        <v>156521.23</v>
      </c>
      <c r="C4" s="24" t="n">
        <f aca="false">'Income Statement'!C5</f>
        <v>183340.7</v>
      </c>
      <c r="D4" s="24" t="n">
        <f aca="false">'Income Statement'!D5</f>
        <v>221112.89</v>
      </c>
      <c r="E4" s="24" t="n">
        <f aca="false">'Income Statement'!E5</f>
        <v>255734.45</v>
      </c>
      <c r="F4" s="24" t="n">
        <f aca="false">'Income Statement'!F5</f>
        <v>285874.36</v>
      </c>
      <c r="G4" s="24" t="n">
        <f aca="false">'Income Statement'!G5</f>
        <v>320179.2832</v>
      </c>
      <c r="H4" s="24" t="n">
        <f aca="false">'Income Statement'!H5</f>
        <v>358600.797184</v>
      </c>
      <c r="I4" s="24" t="n">
        <f aca="false">'Income Statement'!I5</f>
        <v>401632.89284608</v>
      </c>
      <c r="J4" s="24" t="n">
        <f aca="false">'Income Statement'!J5</f>
        <v>449828.83998761</v>
      </c>
      <c r="K4" s="24" t="n">
        <f aca="false">'Income Statement'!K5</f>
        <v>503808.300786123</v>
      </c>
    </row>
    <row r="5" customFormat="false" ht="15.75" hidden="false" customHeight="true" outlineLevel="0" collapsed="false">
      <c r="A5" s="3" t="s">
        <v>218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5" hidden="false" customHeight="false" outlineLevel="0" collapsed="false">
      <c r="A6" s="4" t="s">
        <v>185</v>
      </c>
      <c r="B6" s="14" t="n">
        <v>46138.92</v>
      </c>
      <c r="C6" s="14" t="n">
        <v>44731.53</v>
      </c>
      <c r="D6" s="14" t="n">
        <v>48770.95</v>
      </c>
      <c r="E6" s="14" t="n">
        <v>53713.68</v>
      </c>
      <c r="F6" s="14" t="n">
        <v>60461.26</v>
      </c>
      <c r="G6" s="15" t="n">
        <f aca="false">('Assumptions &amp; Drivers'!$B$16/365)*'Income Statement'!G5</f>
        <v>67544.6707024658</v>
      </c>
      <c r="H6" s="15" t="n">
        <f aca="false">('Assumptions &amp; Drivers'!$B$16/365)*'Income Statement'!H5</f>
        <v>75650.0311867616</v>
      </c>
      <c r="I6" s="15" t="n">
        <f aca="false">('Assumptions &amp; Drivers'!$B$16/365)*'Income Statement'!I5</f>
        <v>84728.0349291731</v>
      </c>
      <c r="J6" s="15" t="n">
        <f aca="false">('Assumptions &amp; Drivers'!$B$16/365)*'Income Statement'!J5</f>
        <v>94895.3991206738</v>
      </c>
      <c r="K6" s="15" t="n">
        <f aca="false">('Assumptions &amp; Drivers'!$B$16/365)*'Income Statement'!K5</f>
        <v>106282.847015155</v>
      </c>
    </row>
    <row r="7" customFormat="false" ht="15" hidden="false" customHeight="false" outlineLevel="0" collapsed="false">
      <c r="A7" s="4" t="s">
        <v>184</v>
      </c>
      <c r="B7" s="14" t="n">
        <v>5943.32</v>
      </c>
      <c r="C7" s="14" t="n">
        <v>6828.78</v>
      </c>
      <c r="D7" s="14" t="n">
        <v>6620.19</v>
      </c>
      <c r="E7" s="14" t="n">
        <v>7670.55</v>
      </c>
      <c r="F7" s="14" t="n">
        <v>9530.93</v>
      </c>
      <c r="G7" s="15" t="n">
        <f aca="false">('Assumptions &amp; Drivers'!$B$17/365)*'Income Statement'!G5</f>
        <v>10526.4421873973</v>
      </c>
      <c r="H7" s="15" t="n">
        <f aca="false">('Assumptions &amp; Drivers'!$B$17/365)*'Income Statement'!H5</f>
        <v>11789.6152498849</v>
      </c>
      <c r="I7" s="15" t="n">
        <f aca="false">('Assumptions &amp; Drivers'!$B$17/365)*'Income Statement'!I5</f>
        <v>13204.3690798711</v>
      </c>
      <c r="J7" s="15" t="n">
        <f aca="false">('Assumptions &amp; Drivers'!$B$17/365)*'Income Statement'!J5</f>
        <v>14788.8933694557</v>
      </c>
      <c r="K7" s="15" t="n">
        <f aca="false">('Assumptions &amp; Drivers'!$B$17/365)*'Income Statement'!K5</f>
        <v>16563.5605737903</v>
      </c>
    </row>
    <row r="8" customFormat="false" ht="15" hidden="false" customHeight="false" outlineLevel="0" collapsed="false">
      <c r="A8" s="4" t="s">
        <v>165</v>
      </c>
      <c r="B8" s="14" t="n">
        <v>51144.24</v>
      </c>
      <c r="C8" s="14" t="n">
        <v>49784.12</v>
      </c>
      <c r="D8" s="14" t="n">
        <v>53292.88</v>
      </c>
      <c r="E8" s="14" t="n">
        <v>52459.34</v>
      </c>
      <c r="F8" s="14" t="n">
        <v>69455.63</v>
      </c>
      <c r="G8" s="15" t="n">
        <f aca="false">('Assumptions &amp; Drivers'!$B$18/365)*'Income Statement'!G5</f>
        <v>75439.5023430137</v>
      </c>
      <c r="H8" s="15" t="n">
        <f aca="false">('Assumptions &amp; Drivers'!$B$18/365)*'Income Statement'!H5</f>
        <v>84492.2426241754</v>
      </c>
      <c r="I8" s="15" t="n">
        <f aca="false">('Assumptions &amp; Drivers'!$B$18/365)*'Income Statement'!I5</f>
        <v>94631.3117390764</v>
      </c>
      <c r="J8" s="15" t="n">
        <f aca="false">('Assumptions &amp; Drivers'!$B$18/365)*'Income Statement'!J5</f>
        <v>105987.069147766</v>
      </c>
      <c r="K8" s="15" t="n">
        <f aca="false">('Assumptions &amp; Drivers'!$B$18/365)*'Income Statement'!K5</f>
        <v>118705.517445497</v>
      </c>
    </row>
    <row r="9" customFormat="false" ht="15" hidden="false" customHeight="false" outlineLevel="0" collapsed="false">
      <c r="A9" s="16" t="s">
        <v>219</v>
      </c>
      <c r="B9" s="18" t="n">
        <f aca="false">B6+B7-B8</f>
        <v>938</v>
      </c>
      <c r="C9" s="18" t="n">
        <f aca="false">C6+C7-C8</f>
        <v>1776.19</v>
      </c>
      <c r="D9" s="18" t="n">
        <f aca="false">D6+D7-D8</f>
        <v>2098.26</v>
      </c>
      <c r="E9" s="18" t="n">
        <f aca="false">E6+E7-E8</f>
        <v>8924.89000000001</v>
      </c>
      <c r="F9" s="18" t="n">
        <f aca="false">F6+F7-F8</f>
        <v>536.559999999998</v>
      </c>
      <c r="G9" s="18" t="n">
        <f aca="false">G6+G7-G8</f>
        <v>2631.6105468493</v>
      </c>
      <c r="H9" s="18" t="n">
        <f aca="false">H6+H7-H8</f>
        <v>2947.40381247121</v>
      </c>
      <c r="I9" s="18" t="n">
        <f aca="false">I6+I7-I8</f>
        <v>3301.09226996778</v>
      </c>
      <c r="J9" s="18" t="n">
        <f aca="false">J6+J7-J8</f>
        <v>3697.22334236391</v>
      </c>
      <c r="K9" s="18" t="n">
        <f aca="false">K6+K7-K8</f>
        <v>4140.89014344757</v>
      </c>
    </row>
    <row r="10" customFormat="false" ht="15" hidden="false" customHeight="false" outlineLevel="0" collapsed="false">
      <c r="A10" s="21" t="s">
        <v>220</v>
      </c>
      <c r="B10" s="22" t="n">
        <v>0</v>
      </c>
      <c r="C10" s="22" t="n">
        <f aca="false">C9-B9</f>
        <v>838.189999999995</v>
      </c>
      <c r="D10" s="22" t="n">
        <f aca="false">D9-C9</f>
        <v>322.070000000007</v>
      </c>
      <c r="E10" s="22" t="n">
        <f aca="false">E9-D9</f>
        <v>6826.63000000001</v>
      </c>
      <c r="F10" s="22" t="n">
        <f aca="false">F9-E9</f>
        <v>-8388.33000000001</v>
      </c>
      <c r="G10" s="22" t="n">
        <f aca="false">G9-F9</f>
        <v>2095.05054684931</v>
      </c>
      <c r="H10" s="22" t="n">
        <f aca="false">H9-G9</f>
        <v>315.793265621905</v>
      </c>
      <c r="I10" s="22" t="n">
        <f aca="false">I9-H9</f>
        <v>353.688457496566</v>
      </c>
      <c r="J10" s="22" t="n">
        <f aca="false">J9-I9</f>
        <v>396.131072396136</v>
      </c>
      <c r="K10" s="22" t="n">
        <f aca="false">K9-J9</f>
        <v>443.666801083658</v>
      </c>
    </row>
    <row r="11" customFormat="false" ht="15.75" hidden="false" customHeight="true" outlineLevel="0" collapsed="false">
      <c r="A11" s="3" t="s">
        <v>221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4" t="s">
        <v>222</v>
      </c>
      <c r="B12" s="25" t="n">
        <f aca="false">B6/B4*365</f>
        <v>107.59374814522</v>
      </c>
      <c r="C12" s="25" t="n">
        <f aca="false">C6/C4*365</f>
        <v>89.0528314225919</v>
      </c>
      <c r="D12" s="25" t="n">
        <f aca="false">D6/D4*365</f>
        <v>80.508181816085</v>
      </c>
      <c r="E12" s="25" t="n">
        <f aca="false">E6/E4*365</f>
        <v>76.6634812009098</v>
      </c>
      <c r="F12" s="25" t="n">
        <f aca="false">F6/F4*365</f>
        <v>77.1960098135419</v>
      </c>
      <c r="G12" s="25" t="n">
        <f aca="false">'Assumptions &amp; Drivers'!$B$16</f>
        <v>77</v>
      </c>
      <c r="H12" s="25" t="n">
        <f aca="false">'Assumptions &amp; Drivers'!$B$16</f>
        <v>77</v>
      </c>
      <c r="I12" s="25" t="n">
        <f aca="false">'Assumptions &amp; Drivers'!$B$16</f>
        <v>77</v>
      </c>
      <c r="J12" s="25" t="n">
        <f aca="false">'Assumptions &amp; Drivers'!$B$16</f>
        <v>77</v>
      </c>
      <c r="K12" s="25" t="n">
        <f aca="false">'Assumptions &amp; Drivers'!$B$16</f>
        <v>77</v>
      </c>
    </row>
    <row r="13" customFormat="false" ht="15" hidden="false" customHeight="false" outlineLevel="0" collapsed="false">
      <c r="A13" s="4" t="s">
        <v>223</v>
      </c>
      <c r="B13" s="25" t="n">
        <f aca="false">B7/B4*365</f>
        <v>13.85953713755</v>
      </c>
      <c r="C13" s="25" t="n">
        <f aca="false">C7/C4*365</f>
        <v>13.5949339126555</v>
      </c>
      <c r="D13" s="25" t="n">
        <f aca="false">D7/D4*365</f>
        <v>10.9282156729985</v>
      </c>
      <c r="E13" s="25" t="n">
        <f aca="false">E7/E4*365</f>
        <v>10.947882657186</v>
      </c>
      <c r="F13" s="25" t="n">
        <f aca="false">F7/F4*365</f>
        <v>12.1689453017053</v>
      </c>
      <c r="G13" s="25" t="n">
        <f aca="false">'Assumptions &amp; Drivers'!$B$17</f>
        <v>12</v>
      </c>
      <c r="H13" s="25" t="n">
        <f aca="false">'Assumptions &amp; Drivers'!$B$17</f>
        <v>12</v>
      </c>
      <c r="I13" s="25" t="n">
        <f aca="false">'Assumptions &amp; Drivers'!$B$17</f>
        <v>12</v>
      </c>
      <c r="J13" s="25" t="n">
        <f aca="false">'Assumptions &amp; Drivers'!$B$17</f>
        <v>12</v>
      </c>
      <c r="K13" s="25" t="n">
        <f aca="false">'Assumptions &amp; Drivers'!$B$17</f>
        <v>12</v>
      </c>
    </row>
    <row r="14" customFormat="false" ht="15" hidden="false" customHeight="false" outlineLevel="0" collapsed="false">
      <c r="A14" s="4" t="s">
        <v>224</v>
      </c>
      <c r="B14" s="25" t="n">
        <f aca="false">B8/B4*365</f>
        <v>119.265914278849</v>
      </c>
      <c r="C14" s="25" t="n">
        <f aca="false">C8/C4*365</f>
        <v>99.1116746036205</v>
      </c>
      <c r="D14" s="25" t="n">
        <f aca="false">D8/D4*365</f>
        <v>87.9727147521793</v>
      </c>
      <c r="E14" s="25" t="n">
        <f aca="false">E8/E4*365</f>
        <v>74.8732096907554</v>
      </c>
      <c r="F14" s="25" t="n">
        <f aca="false">F8/F4*365</f>
        <v>88.6798835334516</v>
      </c>
      <c r="G14" s="25" t="n">
        <f aca="false">'Assumptions &amp; Drivers'!$B$18</f>
        <v>86</v>
      </c>
      <c r="H14" s="25" t="n">
        <f aca="false">'Assumptions &amp; Drivers'!$B$18</f>
        <v>86</v>
      </c>
      <c r="I14" s="25" t="n">
        <f aca="false">'Assumptions &amp; Drivers'!$B$18</f>
        <v>86</v>
      </c>
      <c r="J14" s="25" t="n">
        <f aca="false">'Assumptions &amp; Drivers'!$B$18</f>
        <v>86</v>
      </c>
      <c r="K14" s="25" t="n">
        <f aca="false">'Assumptions &amp; Drivers'!$B$18</f>
        <v>86</v>
      </c>
    </row>
    <row r="15" customFormat="false" ht="15" hidden="false" customHeight="false" outlineLevel="0" collapsed="false">
      <c r="A15" s="26" t="s">
        <v>225</v>
      </c>
      <c r="B15" s="27" t="n">
        <f aca="false">B12+B13-B14</f>
        <v>2.18737100392069</v>
      </c>
      <c r="C15" s="27" t="n">
        <f aca="false">C12+C13-C14</f>
        <v>3.53609073162694</v>
      </c>
      <c r="D15" s="27" t="n">
        <f aca="false">D12+D13-D14</f>
        <v>3.4636827369042</v>
      </c>
      <c r="E15" s="27" t="n">
        <f aca="false">E12+E13-E14</f>
        <v>12.7381541673404</v>
      </c>
      <c r="F15" s="27" t="n">
        <f aca="false">F12+F13-F14</f>
        <v>0.685071581795583</v>
      </c>
      <c r="G15" s="27" t="n">
        <f aca="false">G12+G13-G14</f>
        <v>3</v>
      </c>
      <c r="H15" s="27" t="n">
        <f aca="false">H12+H13-H14</f>
        <v>3</v>
      </c>
      <c r="I15" s="27" t="n">
        <f aca="false">I12+I13-I14</f>
        <v>3</v>
      </c>
      <c r="J15" s="27" t="n">
        <f aca="false">J12+J13-J14</f>
        <v>3</v>
      </c>
      <c r="K15" s="27" t="n">
        <f aca="false">K12+K13-K14</f>
        <v>3</v>
      </c>
    </row>
    <row r="16" customFormat="false" ht="15.75" hidden="false" customHeight="true" outlineLevel="0" collapsed="false">
      <c r="A16" s="3" t="s">
        <v>226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4" t="s">
        <v>227</v>
      </c>
      <c r="B17" s="14" t="n">
        <v>42816.05</v>
      </c>
      <c r="C17" s="14" t="n">
        <f aca="false">B20</f>
        <v>42018.5</v>
      </c>
      <c r="D17" s="14" t="n">
        <f aca="false">C20</f>
        <v>41366.7</v>
      </c>
      <c r="E17" s="14" t="n">
        <f aca="false">D20</f>
        <v>41007</v>
      </c>
      <c r="F17" s="14" t="n">
        <f aca="false">E20</f>
        <v>41006.32</v>
      </c>
      <c r="G17" s="15" t="n">
        <f aca="false">F20</f>
        <v>41492.17</v>
      </c>
      <c r="H17" s="15" t="n">
        <f aca="false">G20</f>
        <v>44282.430144</v>
      </c>
      <c r="I17" s="15" t="n">
        <f aca="false">H20</f>
        <v>48020.38557696</v>
      </c>
      <c r="J17" s="15" t="n">
        <f aca="false">I20</f>
        <v>52648.1577934848</v>
      </c>
      <c r="K17" s="15" t="n">
        <f aca="false">J20</f>
        <v>58148.9714107515</v>
      </c>
    </row>
    <row r="18" customFormat="false" ht="15" hidden="false" customHeight="false" outlineLevel="0" collapsed="false">
      <c r="A18" s="4" t="s">
        <v>228</v>
      </c>
      <c r="B18" s="14" t="n">
        <v>2150.4</v>
      </c>
      <c r="C18" s="14" t="n">
        <v>2850.6</v>
      </c>
      <c r="D18" s="14" t="n">
        <v>3450.8</v>
      </c>
      <c r="E18" s="14" t="n">
        <v>4120.5</v>
      </c>
      <c r="F18" s="14" t="n">
        <v>4850.6</v>
      </c>
      <c r="G18" s="15" t="n">
        <f aca="false">'Assumptions &amp; Drivers'!$B$20*'Income Statement'!G5</f>
        <v>14408.067744</v>
      </c>
      <c r="H18" s="15" t="n">
        <f aca="false">'Assumptions &amp; Drivers'!$B$20*'Income Statement'!H5</f>
        <v>16137.03587328</v>
      </c>
      <c r="I18" s="15" t="n">
        <f aca="false">'Assumptions &amp; Drivers'!$B$20*'Income Statement'!I5</f>
        <v>18073.4801780736</v>
      </c>
      <c r="J18" s="15" t="n">
        <f aca="false">'Assumptions &amp; Drivers'!$B$20*'Income Statement'!J5</f>
        <v>20242.2977994424</v>
      </c>
      <c r="K18" s="15" t="n">
        <f aca="false">'Assumptions &amp; Drivers'!$B$20*'Income Statement'!K5</f>
        <v>22671.3735353755</v>
      </c>
    </row>
    <row r="19" customFormat="false" ht="15" hidden="false" customHeight="false" outlineLevel="0" collapsed="false">
      <c r="A19" s="4" t="s">
        <v>229</v>
      </c>
      <c r="B19" s="14" t="n">
        <v>2947.95</v>
      </c>
      <c r="C19" s="14" t="n">
        <v>3502.4</v>
      </c>
      <c r="D19" s="14" t="n">
        <v>3810.5</v>
      </c>
      <c r="E19" s="14" t="n">
        <v>4121.18</v>
      </c>
      <c r="F19" s="14" t="n">
        <v>4364.75</v>
      </c>
      <c r="G19" s="15" t="n">
        <f aca="false">'Assumptions &amp; Drivers'!$B$21*G17</f>
        <v>11617.8076</v>
      </c>
      <c r="H19" s="15" t="n">
        <f aca="false">'Assumptions &amp; Drivers'!$B$21*H17</f>
        <v>12399.08044032</v>
      </c>
      <c r="I19" s="15" t="n">
        <f aca="false">'Assumptions &amp; Drivers'!$B$21*I17</f>
        <v>13445.7079615488</v>
      </c>
      <c r="J19" s="15" t="n">
        <f aca="false">'Assumptions &amp; Drivers'!$B$21*J17</f>
        <v>14741.4841821757</v>
      </c>
      <c r="K19" s="15" t="n">
        <f aca="false">'Assumptions &amp; Drivers'!$B$21*K17</f>
        <v>16281.7119950104</v>
      </c>
    </row>
    <row r="20" customFormat="false" ht="15" hidden="false" customHeight="false" outlineLevel="0" collapsed="false">
      <c r="A20" s="16" t="s">
        <v>230</v>
      </c>
      <c r="B20" s="18" t="n">
        <f aca="false">B17+B18-B19</f>
        <v>42018.5</v>
      </c>
      <c r="C20" s="18" t="n">
        <f aca="false">C17+C18-C19</f>
        <v>41366.7</v>
      </c>
      <c r="D20" s="18" t="n">
        <f aca="false">D17+D18-D19</f>
        <v>41007</v>
      </c>
      <c r="E20" s="18" t="n">
        <f aca="false">E17+E18-E19</f>
        <v>41006.32</v>
      </c>
      <c r="F20" s="18" t="n">
        <f aca="false">F17+F18-F19</f>
        <v>41492.17</v>
      </c>
      <c r="G20" s="18" t="n">
        <f aca="false">G17+G18-G19</f>
        <v>44282.430144</v>
      </c>
      <c r="H20" s="18" t="n">
        <f aca="false">H17+H18-H19</f>
        <v>48020.38557696</v>
      </c>
      <c r="I20" s="18" t="n">
        <f aca="false">I17+I18-I19</f>
        <v>52648.1577934848</v>
      </c>
      <c r="J20" s="18" t="n">
        <f aca="false">J17+J18-J19</f>
        <v>58148.9714107515</v>
      </c>
      <c r="K20" s="18" t="n">
        <f aca="false">K17+K18-K19</f>
        <v>64538.6329511166</v>
      </c>
    </row>
    <row r="21" customFormat="false" ht="15" hidden="false" customHeight="false" outlineLevel="0" collapsed="false">
      <c r="A21" s="6" t="s">
        <v>231</v>
      </c>
      <c r="B21" s="28" t="n">
        <f aca="false">B18/B4</f>
        <v>0.0137387113556417</v>
      </c>
      <c r="C21" s="28" t="n">
        <f aca="false">C18/C4</f>
        <v>0.0155481025216987</v>
      </c>
      <c r="D21" s="28" t="n">
        <f aca="false">D18/D4</f>
        <v>0.0156065076079463</v>
      </c>
      <c r="E21" s="28" t="n">
        <f aca="false">E18/E4</f>
        <v>0.0161124166102768</v>
      </c>
      <c r="F21" s="28" t="n">
        <f aca="false">F18/F4</f>
        <v>0.0169675937359335</v>
      </c>
      <c r="G21" s="28" t="n">
        <f aca="false">'Assumptions &amp; Drivers'!$B$20</f>
        <v>0.045</v>
      </c>
      <c r="H21" s="28" t="n">
        <f aca="false">'Assumptions &amp; Drivers'!$B$20</f>
        <v>0.045</v>
      </c>
      <c r="I21" s="28" t="n">
        <f aca="false">'Assumptions &amp; Drivers'!$B$20</f>
        <v>0.045</v>
      </c>
      <c r="J21" s="28" t="n">
        <f aca="false">'Assumptions &amp; Drivers'!$B$20</f>
        <v>0.045</v>
      </c>
      <c r="K21" s="28" t="n">
        <f aca="false">'Assumptions &amp; Drivers'!$B$20</f>
        <v>0.045</v>
      </c>
    </row>
    <row r="22" customFormat="false" ht="15" hidden="false" customHeight="false" outlineLevel="0" collapsed="false">
      <c r="A22" s="6" t="s">
        <v>232</v>
      </c>
      <c r="B22" s="28" t="n">
        <f aca="false">B19/B17</f>
        <v>0.0688515171296745</v>
      </c>
      <c r="C22" s="28" t="n">
        <f aca="false">C19/C17</f>
        <v>0.083353760843438</v>
      </c>
      <c r="D22" s="28" t="n">
        <f aca="false">D19/D17</f>
        <v>0.0921151554269497</v>
      </c>
      <c r="E22" s="28" t="n">
        <f aca="false">E19/E17</f>
        <v>0.10049942692711</v>
      </c>
      <c r="F22" s="28" t="n">
        <f aca="false">F19/F17</f>
        <v>0.106440909596374</v>
      </c>
      <c r="G22" s="28" t="n">
        <f aca="false">'Assumptions &amp; Drivers'!$B$21</f>
        <v>0.28</v>
      </c>
      <c r="H22" s="28" t="n">
        <f aca="false">'Assumptions &amp; Drivers'!$B$21</f>
        <v>0.28</v>
      </c>
      <c r="I22" s="28" t="n">
        <f aca="false">'Assumptions &amp; Drivers'!$B$21</f>
        <v>0.28</v>
      </c>
      <c r="J22" s="28" t="n">
        <f aca="false">'Assumptions &amp; Drivers'!$B$21</f>
        <v>0.28</v>
      </c>
      <c r="K22" s="28" t="n">
        <f aca="false">'Assumptions &amp; Drivers'!$B$21</f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8" t="s">
        <v>233</v>
      </c>
    </row>
    <row r="3" customFormat="false" ht="15.75" hidden="false" customHeight="true" outlineLevel="0" collapsed="false">
      <c r="A3" s="3" t="s">
        <v>234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9" t="s">
        <v>114</v>
      </c>
      <c r="B4" s="12" t="s">
        <v>115</v>
      </c>
      <c r="C4" s="12" t="s">
        <v>116</v>
      </c>
      <c r="D4" s="12" t="s">
        <v>117</v>
      </c>
      <c r="E4" s="12" t="s">
        <v>118</v>
      </c>
      <c r="F4" s="12" t="s">
        <v>119</v>
      </c>
    </row>
    <row r="5" customFormat="false" ht="15" hidden="false" customHeight="false" outlineLevel="0" collapsed="false">
      <c r="A5" s="4" t="s">
        <v>126</v>
      </c>
      <c r="B5" s="29" t="n">
        <f aca="false">'Income Statement'!B5/'Income Statement'!B5</f>
        <v>1</v>
      </c>
      <c r="C5" s="29" t="n">
        <f aca="false">'Income Statement'!C5/'Income Statement'!C5</f>
        <v>1</v>
      </c>
      <c r="D5" s="29" t="n">
        <f aca="false">'Income Statement'!D5/'Income Statement'!D5</f>
        <v>1</v>
      </c>
      <c r="E5" s="29" t="n">
        <f aca="false">'Income Statement'!E5/'Income Statement'!E5</f>
        <v>1</v>
      </c>
      <c r="F5" s="29" t="n">
        <f aca="false">'Income Statement'!F5/'Income Statement'!F5</f>
        <v>1</v>
      </c>
    </row>
    <row r="6" customFormat="false" ht="15" hidden="false" customHeight="false" outlineLevel="0" collapsed="false">
      <c r="A6" s="4" t="s">
        <v>130</v>
      </c>
      <c r="B6" s="29" t="n">
        <f aca="false">'Income Statement'!B9/'Income Statement'!B5</f>
        <v>0.526101283512786</v>
      </c>
      <c r="C6" s="29" t="n">
        <f aca="false">'Income Statement'!C9/'Income Statement'!C5</f>
        <v>0.549636823683994</v>
      </c>
      <c r="D6" s="29" t="n">
        <f aca="false">'Income Statement'!D9/'Income Statement'!D5</f>
        <v>0.530418194977235</v>
      </c>
      <c r="E6" s="29" t="n">
        <f aca="false">'Income Statement'!E9/'Income Statement'!E5</f>
        <v>0.537979533066429</v>
      </c>
      <c r="F6" s="29" t="n">
        <f aca="false">'Income Statement'!F9/'Income Statement'!F5</f>
        <v>0.537735563273321</v>
      </c>
    </row>
    <row r="7" customFormat="false" ht="15" hidden="false" customHeight="false" outlineLevel="0" collapsed="false">
      <c r="A7" s="4" t="s">
        <v>131</v>
      </c>
      <c r="B7" s="29" t="n">
        <f aca="false">'Income Statement'!B10/'Income Statement'!B5</f>
        <v>0.189964837357846</v>
      </c>
      <c r="C7" s="29" t="n">
        <f aca="false">'Income Statement'!C10/'Income Statement'!C5</f>
        <v>0.19744879342121</v>
      </c>
      <c r="D7" s="29" t="n">
        <f aca="false">'Income Statement'!D10/'Income Statement'!D5</f>
        <v>0.187689645773252</v>
      </c>
      <c r="E7" s="29" t="n">
        <f aca="false">'Income Statement'!E10/'Income Statement'!E5</f>
        <v>0.182879858384351</v>
      </c>
      <c r="F7" s="29" t="n">
        <f aca="false">'Income Statement'!F10/'Income Statement'!F5</f>
        <v>0.18255299286022</v>
      </c>
    </row>
    <row r="8" customFormat="false" ht="15" hidden="false" customHeight="false" outlineLevel="0" collapsed="false">
      <c r="A8" s="4" t="s">
        <v>132</v>
      </c>
      <c r="B8" s="29" t="n">
        <f aca="false">'Income Statement'!B11/'Income Statement'!B5</f>
        <v>0.0199698149573703</v>
      </c>
      <c r="C8" s="29" t="n">
        <f aca="false">'Income Statement'!C11/'Income Statement'!C5</f>
        <v>0.0174543895599831</v>
      </c>
      <c r="D8" s="29" t="n">
        <f aca="false">'Income Statement'!D11/'Income Statement'!D5</f>
        <v>0.0147001832412394</v>
      </c>
      <c r="E8" s="29" t="n">
        <f aca="false">'Income Statement'!E11/'Income Statement'!E5</f>
        <v>0.0130384076138354</v>
      </c>
      <c r="F8" s="29" t="n">
        <f aca="false">'Income Statement'!F11/'Income Statement'!F5</f>
        <v>0.00996528684839032</v>
      </c>
    </row>
    <row r="9" customFormat="false" ht="15" hidden="false" customHeight="false" outlineLevel="0" collapsed="false">
      <c r="A9" s="4" t="s">
        <v>133</v>
      </c>
      <c r="B9" s="29" t="n">
        <f aca="false">'Income Statement'!B12/'Income Statement'!B5</f>
        <v>0.0188341862634225</v>
      </c>
      <c r="C9" s="29" t="n">
        <f aca="false">'Income Statement'!C12/'Income Statement'!C5</f>
        <v>0.0191032323973891</v>
      </c>
      <c r="D9" s="29" t="n">
        <f aca="false">'Income Statement'!D12/'Income Statement'!D5</f>
        <v>0.0172332784398051</v>
      </c>
      <c r="E9" s="29" t="n">
        <f aca="false">'Income Statement'!E12/'Income Statement'!E5</f>
        <v>0.0161150756184785</v>
      </c>
      <c r="F9" s="29" t="n">
        <f aca="false">'Income Statement'!F12/'Income Statement'!F5</f>
        <v>0.0152680709105916</v>
      </c>
    </row>
    <row r="10" customFormat="false" ht="15" hidden="false" customHeight="false" outlineLevel="0" collapsed="false">
      <c r="A10" s="4" t="s">
        <v>134</v>
      </c>
      <c r="B10" s="29" t="n">
        <f aca="false">'Income Statement'!B13/'Income Statement'!B5</f>
        <v>0.0564261474306073</v>
      </c>
      <c r="C10" s="29" t="n">
        <f aca="false">'Income Statement'!C13/'Income Statement'!C5</f>
        <v>0.0515444743038507</v>
      </c>
      <c r="D10" s="29" t="n">
        <f aca="false">'Income Statement'!D13/'Income Statement'!D5</f>
        <v>0.0461316389107844</v>
      </c>
      <c r="E10" s="29" t="n">
        <f aca="false">'Income Statement'!E13/'Income Statement'!E5</f>
        <v>0.0451958271558642</v>
      </c>
      <c r="F10" s="29" t="n">
        <f aca="false">'Income Statement'!F13/'Income Statement'!F5</f>
        <v>0.0409251462775465</v>
      </c>
    </row>
    <row r="11" customFormat="false" ht="15" hidden="false" customHeight="false" outlineLevel="0" collapsed="false">
      <c r="A11" s="4" t="s">
        <v>138</v>
      </c>
      <c r="B11" s="29" t="n">
        <f aca="false">'Income Statement'!B17/'Income Statement'!B5</f>
        <v>0.203187899813974</v>
      </c>
      <c r="C11" s="29" t="n">
        <f aca="false">'Income Statement'!C17/'Income Statement'!C5</f>
        <v>0.18033982634516</v>
      </c>
      <c r="D11" s="29" t="n">
        <f aca="false">'Income Statement'!D17/'Income Statement'!D5</f>
        <v>0.219939280790007</v>
      </c>
      <c r="E11" s="29" t="n">
        <f aca="false">'Income Statement'!E17/'Income Statement'!E5</f>
        <v>0.222777142461643</v>
      </c>
      <c r="F11" s="29" t="n">
        <f aca="false">'Income Statement'!F17/'Income Statement'!F5</f>
        <v>0.227678865638737</v>
      </c>
    </row>
    <row r="12" customFormat="false" ht="15" hidden="false" customHeight="false" outlineLevel="0" collapsed="false">
      <c r="A12" s="4" t="s">
        <v>235</v>
      </c>
      <c r="B12" s="29" t="n">
        <f aca="false">'Income Statement'!B23/'Income Statement'!B5</f>
        <v>0.17506385555493</v>
      </c>
      <c r="C12" s="29" t="n">
        <f aca="false">'Income Statement'!C23/'Income Statement'!C5</f>
        <v>0.154078881557668</v>
      </c>
      <c r="D12" s="29" t="n">
        <f aca="false">'Income Statement'!D23/'Income Statement'!D5</f>
        <v>0.195844801268709</v>
      </c>
      <c r="E12" s="29" t="n">
        <f aca="false">'Income Statement'!E23/'Income Statement'!E5</f>
        <v>0.199794943543977</v>
      </c>
      <c r="F12" s="29" t="n">
        <f aca="false">'Income Statement'!F23/'Income Statement'!F5</f>
        <v>0.204553706740262</v>
      </c>
    </row>
    <row r="14" customFormat="false" ht="15.75" hidden="false" customHeight="true" outlineLevel="0" collapsed="false">
      <c r="A14" s="3" t="s">
        <v>236</v>
      </c>
      <c r="B14" s="3"/>
      <c r="C14" s="3"/>
      <c r="D14" s="3"/>
      <c r="E14" s="3"/>
      <c r="F14" s="3"/>
    </row>
    <row r="15" customFormat="false" ht="18" hidden="false" customHeight="true" outlineLevel="0" collapsed="false">
      <c r="A15" s="9" t="s">
        <v>114</v>
      </c>
      <c r="B15" s="12" t="s">
        <v>115</v>
      </c>
      <c r="C15" s="12" t="s">
        <v>116</v>
      </c>
      <c r="D15" s="12" t="s">
        <v>117</v>
      </c>
      <c r="E15" s="12" t="s">
        <v>118</v>
      </c>
      <c r="F15" s="12" t="s">
        <v>119</v>
      </c>
    </row>
    <row r="16" customFormat="false" ht="15" hidden="false" customHeight="false" outlineLevel="0" collapsed="false">
      <c r="A16" s="4" t="s">
        <v>181</v>
      </c>
      <c r="B16" s="29" t="n">
        <f aca="false">'Balance Sheet'!B35/'Balance Sheet'!B45</f>
        <v>0.349533283849232</v>
      </c>
      <c r="C16" s="29" t="n">
        <f aca="false">'Balance Sheet'!C35/'Balance Sheet'!C45</f>
        <v>0.327371677830859</v>
      </c>
      <c r="D16" s="29" t="n">
        <f aca="false">'Balance Sheet'!D35/'Balance Sheet'!D45</f>
        <v>0.357884632575408</v>
      </c>
      <c r="E16" s="29" t="n">
        <f aca="false">'Balance Sheet'!E35/'Balance Sheet'!E45</f>
        <v>0.353554332913246</v>
      </c>
      <c r="F16" s="29" t="n">
        <f aca="false">'Balance Sheet'!F35/'Balance Sheet'!F45</f>
        <v>0.29662711883545</v>
      </c>
    </row>
    <row r="17" customFormat="false" ht="15" hidden="false" customHeight="false" outlineLevel="0" collapsed="false">
      <c r="A17" s="4" t="s">
        <v>190</v>
      </c>
      <c r="B17" s="29" t="n">
        <f aca="false">'Balance Sheet'!B44/'Balance Sheet'!B45</f>
        <v>0.650466716150769</v>
      </c>
      <c r="C17" s="29" t="n">
        <f aca="false">'Balance Sheet'!C44/'Balance Sheet'!C45</f>
        <v>0.672628322169141</v>
      </c>
      <c r="D17" s="29" t="n">
        <f aca="false">'Balance Sheet'!D44/'Balance Sheet'!D45</f>
        <v>0.642115367424592</v>
      </c>
      <c r="E17" s="29" t="n">
        <f aca="false">'Balance Sheet'!E44/'Balance Sheet'!E45</f>
        <v>0.646445667086754</v>
      </c>
      <c r="F17" s="29" t="n">
        <f aca="false">'Balance Sheet'!F44/'Balance Sheet'!F45</f>
        <v>0.70337288116455</v>
      </c>
    </row>
    <row r="18" customFormat="false" ht="15" hidden="false" customHeight="false" outlineLevel="0" collapsed="false">
      <c r="A18" s="4" t="s">
        <v>184</v>
      </c>
      <c r="B18" s="29" t="n">
        <f aca="false">'Balance Sheet'!B38/'Balance Sheet'!B45</f>
        <v>0.0185700361057303</v>
      </c>
      <c r="C18" s="29" t="n">
        <f aca="false">'Balance Sheet'!C38/'Balance Sheet'!C45</f>
        <v>0.0206712040245761</v>
      </c>
      <c r="D18" s="29" t="n">
        <f aca="false">'Balance Sheet'!D38/'Balance Sheet'!D45</f>
        <v>0.0194925177379765</v>
      </c>
      <c r="E18" s="29" t="n">
        <f aca="false">'Balance Sheet'!E38/'Balance Sheet'!E45</f>
        <v>0.0202109694746658</v>
      </c>
      <c r="F18" s="29" t="n">
        <f aca="false">'Balance Sheet'!F38/'Balance Sheet'!F45</f>
        <v>0.0210605067211485</v>
      </c>
    </row>
    <row r="19" customFormat="false" ht="15" hidden="false" customHeight="false" outlineLevel="0" collapsed="false">
      <c r="A19" s="4" t="s">
        <v>185</v>
      </c>
      <c r="B19" s="29" t="n">
        <f aca="false">'Balance Sheet'!B39/'Balance Sheet'!B45</f>
        <v>0.144162086221069</v>
      </c>
      <c r="C19" s="29" t="n">
        <f aca="false">'Balance Sheet'!C39/'Balance Sheet'!C45</f>
        <v>0.135405531143403</v>
      </c>
      <c r="D19" s="29" t="n">
        <f aca="false">'Balance Sheet'!D39/'Balance Sheet'!D45</f>
        <v>0.143601408414708</v>
      </c>
      <c r="E19" s="29" t="n">
        <f aca="false">'Balance Sheet'!E39/'Balance Sheet'!E45</f>
        <v>0.141529035968994</v>
      </c>
      <c r="F19" s="29" t="n">
        <f aca="false">'Balance Sheet'!F39/'Balance Sheet'!F45</f>
        <v>0.133601314100419</v>
      </c>
    </row>
    <row r="20" customFormat="false" ht="15" hidden="false" customHeight="false" outlineLevel="0" collapsed="false">
      <c r="A20" s="4" t="s">
        <v>186</v>
      </c>
      <c r="B20" s="29" t="n">
        <f aca="false">'Balance Sheet'!B40/'Balance Sheet'!B45</f>
        <v>0.0592196030531832</v>
      </c>
      <c r="C20" s="29" t="n">
        <f aca="false">'Balance Sheet'!C40/'Balance Sheet'!C45</f>
        <v>0.0681684350867715</v>
      </c>
      <c r="D20" s="29" t="n">
        <f aca="false">'Balance Sheet'!D40/'Balance Sheet'!D45</f>
        <v>0.0452213138145221</v>
      </c>
      <c r="E20" s="29" t="n">
        <f aca="false">'Balance Sheet'!E40/'Balance Sheet'!E45</f>
        <v>0.0605108871874013</v>
      </c>
      <c r="F20" s="29" t="n">
        <f aca="false">'Balance Sheet'!F40/'Balance Sheet'!F45</f>
        <v>0.0460671198041834</v>
      </c>
    </row>
    <row r="21" customFormat="false" ht="15" hidden="false" customHeight="false" outlineLevel="0" collapsed="false">
      <c r="A21" s="4" t="s">
        <v>19</v>
      </c>
      <c r="B21" s="29" t="n">
        <f aca="false">'Balance Sheet'!B10/'Balance Sheet'!B45</f>
        <v>0.297997349905133</v>
      </c>
      <c r="C21" s="29" t="n">
        <f aca="false">'Balance Sheet'!C10/'Balance Sheet'!C45</f>
        <v>0.313505360383283</v>
      </c>
      <c r="D21" s="29" t="n">
        <f aca="false">'Balance Sheet'!D10/'Balance Sheet'!D45</f>
        <v>0.301947688294967</v>
      </c>
      <c r="E21" s="29" t="n">
        <f aca="false">'Balance Sheet'!E10/'Balance Sheet'!E45</f>
        <v>0.304074708299157</v>
      </c>
      <c r="F21" s="29" t="n">
        <f aca="false">'Balance Sheet'!F10/'Balance Sheet'!F45</f>
        <v>0.284013901760091</v>
      </c>
    </row>
    <row r="22" customFormat="false" ht="15" hidden="false" customHeight="false" outlineLevel="0" collapsed="false">
      <c r="A22" s="4" t="s">
        <v>162</v>
      </c>
      <c r="B22" s="29" t="n">
        <f aca="false">'Balance Sheet'!B16/'Balance Sheet'!B45</f>
        <v>0.203849024080444</v>
      </c>
      <c r="C22" s="29" t="n">
        <f aca="false">'Balance Sheet'!C16/'Balance Sheet'!C45</f>
        <v>0.19590933085953</v>
      </c>
      <c r="D22" s="29" t="n">
        <f aca="false">'Balance Sheet'!D16/'Balance Sheet'!D45</f>
        <v>0.178068313955029</v>
      </c>
      <c r="E22" s="29" t="n">
        <f aca="false">'Balance Sheet'!E16/'Balance Sheet'!E45</f>
        <v>0.163756451830068</v>
      </c>
      <c r="F22" s="29" t="n">
        <f aca="false">'Balance Sheet'!F16/'Balance Sheet'!F45</f>
        <v>0.153622642577595</v>
      </c>
    </row>
    <row r="23" customFormat="false" ht="15" hidden="false" customHeight="false" outlineLevel="0" collapsed="false">
      <c r="A23" s="4" t="s">
        <v>169</v>
      </c>
      <c r="B23" s="29" t="n">
        <f aca="false">'Balance Sheet'!B23/'Balance Sheet'!B45</f>
        <v>0.498153626014423</v>
      </c>
      <c r="C23" s="29" t="n">
        <f aca="false">'Balance Sheet'!C23/'Balance Sheet'!C45</f>
        <v>0.490585308757187</v>
      </c>
      <c r="D23" s="29" t="n">
        <f aca="false">'Balance Sheet'!D23/'Balance Sheet'!D45</f>
        <v>0.519983997750004</v>
      </c>
      <c r="E23" s="29" t="n">
        <f aca="false">'Balance Sheet'!E23/'Balance Sheet'!E45</f>
        <v>0.532168839870775</v>
      </c>
      <c r="F23" s="29" t="n">
        <f aca="false">'Balance Sheet'!F23/'Balance Sheet'!F45</f>
        <v>0.562363455662314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8" t="s">
        <v>237</v>
      </c>
    </row>
    <row r="3" customFormat="false" ht="19.5" hidden="false" customHeight="true" outlineLevel="0" collapsed="false">
      <c r="A3" s="12" t="s">
        <v>238</v>
      </c>
      <c r="B3" s="30" t="s">
        <v>239</v>
      </c>
      <c r="C3" s="12" t="s">
        <v>115</v>
      </c>
      <c r="D3" s="12" t="s">
        <v>116</v>
      </c>
      <c r="E3" s="12" t="s">
        <v>117</v>
      </c>
      <c r="F3" s="12" t="s">
        <v>118</v>
      </c>
      <c r="G3" s="12" t="s">
        <v>119</v>
      </c>
      <c r="H3" s="30" t="s">
        <v>240</v>
      </c>
    </row>
    <row r="4" customFormat="false" ht="15.75" hidden="false" customHeight="true" outlineLevel="0" collapsed="false">
      <c r="A4" s="31" t="s">
        <v>241</v>
      </c>
      <c r="B4" s="10" t="s">
        <v>242</v>
      </c>
      <c r="C4" s="32" t="n">
        <f aca="false">'Balance Sheet'!B44/'Balance Sheet'!B23</f>
        <v>1.30575525737905</v>
      </c>
      <c r="D4" s="32" t="n">
        <f aca="false">'Balance Sheet'!C44/'Balance Sheet'!C23</f>
        <v>1.37107310423365</v>
      </c>
      <c r="E4" s="32" t="n">
        <f aca="false">'Balance Sheet'!D44/'Balance Sheet'!D23</f>
        <v>1.23487524655193</v>
      </c>
      <c r="F4" s="32" t="n">
        <f aca="false">'Balance Sheet'!E44/'Balance Sheet'!E23</f>
        <v>1.21473791521452</v>
      </c>
      <c r="G4" s="32" t="n">
        <f aca="false">'Balance Sheet'!F44/'Balance Sheet'!F23</f>
        <v>1.25074429016047</v>
      </c>
      <c r="H4" s="10" t="s">
        <v>243</v>
      </c>
    </row>
    <row r="5" customFormat="false" ht="15.75" hidden="false" customHeight="true" outlineLevel="0" collapsed="false">
      <c r="A5" s="31" t="s">
        <v>244</v>
      </c>
      <c r="B5" s="10" t="s">
        <v>245</v>
      </c>
      <c r="C5" s="33" t="n">
        <f aca="false">('Balance Sheet'!B37+'Balance Sheet'!B39+'Balance Sheet'!B40)/'Balance Sheet'!B23</f>
        <v>0.595135791072305</v>
      </c>
      <c r="D5" s="33" t="n">
        <f aca="false">('Balance Sheet'!C37+'Balance Sheet'!C39+'Balance Sheet'!C40)/'Balance Sheet'!C23</f>
        <v>0.634460999497797</v>
      </c>
      <c r="E5" s="33" t="n">
        <f aca="false">('Balance Sheet'!D37+'Balance Sheet'!D39+'Balance Sheet'!D40)/'Balance Sheet'!D23</f>
        <v>0.561079051032235</v>
      </c>
      <c r="F5" s="33" t="n">
        <f aca="false">('Balance Sheet'!E37+'Balance Sheet'!E39+'Balance Sheet'!E40)/'Balance Sheet'!E23</f>
        <v>0.594341264013776</v>
      </c>
      <c r="G5" s="33" t="n">
        <f aca="false">('Balance Sheet'!F37+'Balance Sheet'!F39+'Balance Sheet'!F40)/'Balance Sheet'!F23</f>
        <v>0.553379812895623</v>
      </c>
      <c r="H5" s="10" t="s">
        <v>246</v>
      </c>
    </row>
    <row r="6" customFormat="false" ht="15.75" hidden="false" customHeight="true" outlineLevel="0" collapsed="false">
      <c r="A6" s="31" t="s">
        <v>247</v>
      </c>
      <c r="B6" s="10" t="s">
        <v>248</v>
      </c>
      <c r="C6" s="34" t="n">
        <f aca="false">('Income Statement'!B5-'Income Statement'!B9)/'Income Statement'!B5</f>
        <v>0.473898716487214</v>
      </c>
      <c r="D6" s="34" t="n">
        <f aca="false">('Income Statement'!C5-'Income Statement'!C9)/'Income Statement'!C5</f>
        <v>0.450363176316006</v>
      </c>
      <c r="E6" s="34" t="n">
        <f aca="false">('Income Statement'!D5-'Income Statement'!D9)/'Income Statement'!D5</f>
        <v>0.469581805022765</v>
      </c>
      <c r="F6" s="34" t="n">
        <f aca="false">('Income Statement'!E5-'Income Statement'!E9)/'Income Statement'!E5</f>
        <v>0.462020466933571</v>
      </c>
      <c r="G6" s="34" t="n">
        <f aca="false">('Income Statement'!F5-'Income Statement'!F9)/'Income Statement'!F5</f>
        <v>0.46226443672668</v>
      </c>
      <c r="H6" s="10" t="s">
        <v>249</v>
      </c>
    </row>
    <row r="7" customFormat="false" ht="15.75" hidden="false" customHeight="true" outlineLevel="0" collapsed="false">
      <c r="A7" s="31" t="s">
        <v>250</v>
      </c>
      <c r="B7" s="10" t="s">
        <v>251</v>
      </c>
      <c r="C7" s="29" t="n">
        <f aca="false">'Income Statement'!B24/'Income Statement'!B5</f>
        <v>0.227507731698761</v>
      </c>
      <c r="D7" s="29" t="n">
        <f aca="false">'Income Statement'!C24/'Income Statement'!C5</f>
        <v>0.201369908590946</v>
      </c>
      <c r="E7" s="29" t="n">
        <f aca="false">'Income Statement'!D24/'Income Statement'!D5</f>
        <v>0.235760520338728</v>
      </c>
      <c r="F7" s="29" t="n">
        <f aca="false">'Income Statement'!E24/'Income Statement'!E5</f>
        <v>0.233944781393356</v>
      </c>
      <c r="G7" s="29" t="n">
        <f aca="false">'Income Statement'!F24/'Income Statement'!F5</f>
        <v>0.238786297588913</v>
      </c>
      <c r="H7" s="10" t="s">
        <v>252</v>
      </c>
    </row>
    <row r="8" customFormat="false" ht="15.75" hidden="false" customHeight="true" outlineLevel="0" collapsed="false">
      <c r="A8" s="31" t="s">
        <v>253</v>
      </c>
      <c r="B8" s="10" t="s">
        <v>254</v>
      </c>
      <c r="C8" s="34" t="n">
        <f aca="false">'Income Statement'!B25/'Income Statement'!B5</f>
        <v>0.208673545435338</v>
      </c>
      <c r="D8" s="34" t="n">
        <f aca="false">'Income Statement'!C25/'Income Statement'!C5</f>
        <v>0.182266676193557</v>
      </c>
      <c r="E8" s="34" t="n">
        <f aca="false">'Income Statement'!D25/'Income Statement'!D5</f>
        <v>0.218527241898923</v>
      </c>
      <c r="F8" s="34" t="n">
        <f aca="false">'Income Statement'!E25/'Income Statement'!E5</f>
        <v>0.217829705774877</v>
      </c>
      <c r="G8" s="34" t="n">
        <f aca="false">'Income Statement'!F25/'Income Statement'!F5</f>
        <v>0.223518226678321</v>
      </c>
      <c r="H8" s="10" t="s">
        <v>255</v>
      </c>
    </row>
    <row r="9" customFormat="false" ht="15.75" hidden="false" customHeight="true" outlineLevel="0" collapsed="false">
      <c r="A9" s="31" t="s">
        <v>256</v>
      </c>
      <c r="B9" s="10" t="s">
        <v>257</v>
      </c>
      <c r="C9" s="29" t="n">
        <f aca="false">'Income Statement'!B23/'Income Statement'!B5</f>
        <v>0.17506385555493</v>
      </c>
      <c r="D9" s="29" t="n">
        <f aca="false">'Income Statement'!C23/'Income Statement'!C5</f>
        <v>0.154078881557668</v>
      </c>
      <c r="E9" s="29" t="n">
        <f aca="false">'Income Statement'!D23/'Income Statement'!D5</f>
        <v>0.195844801268709</v>
      </c>
      <c r="F9" s="29" t="n">
        <f aca="false">'Income Statement'!E23/'Income Statement'!E5</f>
        <v>0.199794943543977</v>
      </c>
      <c r="G9" s="29" t="n">
        <f aca="false">'Income Statement'!F23/'Income Statement'!F5</f>
        <v>0.204553706740262</v>
      </c>
      <c r="H9" s="10" t="s">
        <v>258</v>
      </c>
    </row>
    <row r="10" customFormat="false" ht="15.75" hidden="false" customHeight="true" outlineLevel="0" collapsed="false">
      <c r="A10" s="31" t="s">
        <v>259</v>
      </c>
      <c r="B10" s="10" t="s">
        <v>260</v>
      </c>
      <c r="C10" s="34" t="n">
        <f aca="false">'Income Statement'!B23/'Balance Sheet'!B45</f>
        <v>0.0856156927509707</v>
      </c>
      <c r="D10" s="34" t="n">
        <f aca="false">'Income Statement'!C23/'Balance Sheet'!C45</f>
        <v>0.0855115255588799</v>
      </c>
      <c r="E10" s="34" t="n">
        <f aca="false">'Income Statement'!D23/'Balance Sheet'!D45</f>
        <v>0.127503936374479</v>
      </c>
      <c r="F10" s="34" t="n">
        <f aca="false">'Income Statement'!E23/'Balance Sheet'!E45</f>
        <v>0.134627682405413</v>
      </c>
      <c r="G10" s="34" t="n">
        <f aca="false">'Income Statement'!F23/'Balance Sheet'!F45</f>
        <v>0.129215941252356</v>
      </c>
      <c r="H10" s="10" t="s">
        <v>261</v>
      </c>
    </row>
    <row r="11" customFormat="false" ht="15.75" hidden="false" customHeight="true" outlineLevel="0" collapsed="false">
      <c r="A11" s="31" t="s">
        <v>262</v>
      </c>
      <c r="B11" s="10" t="s">
        <v>263</v>
      </c>
      <c r="C11" s="29" t="n">
        <f aca="false">'Income Statement'!B23/'Balance Sheet'!B10</f>
        <v>0.287303537357719</v>
      </c>
      <c r="D11" s="29" t="n">
        <f aca="false">'Income Statement'!C23/'Balance Sheet'!C10</f>
        <v>0.272759373091216</v>
      </c>
      <c r="E11" s="29" t="n">
        <f aca="false">'Income Statement'!D23/'Balance Sheet'!D10</f>
        <v>0.422271609676717</v>
      </c>
      <c r="F11" s="29" t="n">
        <f aca="false">'Income Statement'!E23/'Balance Sheet'!E10</f>
        <v>0.442745413317843</v>
      </c>
      <c r="G11" s="29" t="n">
        <f aca="false">'Income Statement'!F23/'Balance Sheet'!F10</f>
        <v>0.454963438238687</v>
      </c>
      <c r="H11" s="10" t="s">
        <v>264</v>
      </c>
    </row>
    <row r="12" customFormat="false" ht="15.75" hidden="false" customHeight="true" outlineLevel="0" collapsed="false">
      <c r="A12" s="31" t="s">
        <v>265</v>
      </c>
      <c r="B12" s="10" t="s">
        <v>266</v>
      </c>
      <c r="C12" s="34" t="n">
        <f aca="false">'Income Statement'!B25/('Balance Sheet'!B10+'Balance Sheet'!B47)</f>
        <v>0.143432011720888</v>
      </c>
      <c r="D12" s="34" t="n">
        <f aca="false">'Income Statement'!C25/('Balance Sheet'!C10+'Balance Sheet'!C47)</f>
        <v>0.144080244705616</v>
      </c>
      <c r="E12" s="34" t="n">
        <f aca="false">'Income Statement'!D25/('Balance Sheet'!D10+'Balance Sheet'!D47)</f>
        <v>0.213288681446867</v>
      </c>
      <c r="F12" s="34" t="n">
        <f aca="false">'Income Statement'!E25/('Balance Sheet'!E10+'Balance Sheet'!E47)</f>
        <v>0.219025576776429</v>
      </c>
      <c r="G12" s="34" t="n">
        <f aca="false">'Income Statement'!F25/('Balance Sheet'!F10+'Balance Sheet'!F47)</f>
        <v>0.22181780463167</v>
      </c>
      <c r="H12" s="10" t="s">
        <v>267</v>
      </c>
    </row>
    <row r="13" customFormat="false" ht="15.75" hidden="false" customHeight="true" outlineLevel="0" collapsed="false">
      <c r="A13" s="31" t="s">
        <v>268</v>
      </c>
      <c r="B13" s="10" t="s">
        <v>269</v>
      </c>
      <c r="C13" s="33" t="n">
        <f aca="false">'Income Statement'!B5/'Balance Sheet'!B38</f>
        <v>26.3356558287287</v>
      </c>
      <c r="D13" s="33" t="n">
        <f aca="false">'Income Statement'!C5/'Balance Sheet'!C38</f>
        <v>26.8482364346194</v>
      </c>
      <c r="E13" s="33" t="n">
        <f aca="false">'Income Statement'!D5/'Balance Sheet'!D38</f>
        <v>33.3997800667353</v>
      </c>
      <c r="F13" s="33" t="n">
        <f aca="false">'Income Statement'!E5/'Balance Sheet'!E38</f>
        <v>33.3397800679221</v>
      </c>
      <c r="G13" s="33" t="n">
        <f aca="false">'Income Statement'!F5/'Balance Sheet'!F38</f>
        <v>29.9943824999239</v>
      </c>
      <c r="H13" s="10" t="s">
        <v>270</v>
      </c>
    </row>
    <row r="14" customFormat="false" ht="15.75" hidden="false" customHeight="true" outlineLevel="0" collapsed="false">
      <c r="A14" s="31" t="s">
        <v>271</v>
      </c>
      <c r="B14" s="10" t="s">
        <v>272</v>
      </c>
      <c r="C14" s="32" t="n">
        <f aca="false">'Income Statement'!B5/'Balance Sheet'!B39</f>
        <v>3.39239041572711</v>
      </c>
      <c r="D14" s="32" t="n">
        <f aca="false">'Income Statement'!C5/'Balance Sheet'!C39</f>
        <v>4.0986905656927</v>
      </c>
      <c r="E14" s="32" t="n">
        <f aca="false">'Income Statement'!D5/'Balance Sheet'!D39</f>
        <v>4.53370069682875</v>
      </c>
      <c r="F14" s="32" t="n">
        <f aca="false">'Income Statement'!E5/'Balance Sheet'!E39</f>
        <v>4.76106738544073</v>
      </c>
      <c r="G14" s="32" t="n">
        <f aca="false">'Income Statement'!F5/'Balance Sheet'!F39</f>
        <v>4.72822365924891</v>
      </c>
      <c r="H14" s="10" t="s">
        <v>273</v>
      </c>
    </row>
    <row r="15" customFormat="false" ht="15.75" hidden="false" customHeight="true" outlineLevel="0" collapsed="false">
      <c r="A15" s="31" t="s">
        <v>274</v>
      </c>
      <c r="B15" s="10" t="s">
        <v>275</v>
      </c>
      <c r="C15" s="33" t="n">
        <f aca="false">'Income Statement'!B5/'Balance Sheet'!B45</f>
        <v>0.48905407960758</v>
      </c>
      <c r="D15" s="33" t="n">
        <f aca="false">'Income Statement'!C5/'Balance Sheet'!C45</f>
        <v>0.554985373040074</v>
      </c>
      <c r="E15" s="33" t="n">
        <f aca="false">'Income Statement'!D5/'Balance Sheet'!D45</f>
        <v>0.651045805395351</v>
      </c>
      <c r="F15" s="33" t="n">
        <f aca="false">'Income Statement'!E5/'Balance Sheet'!E45</f>
        <v>0.673829277244844</v>
      </c>
      <c r="G15" s="33" t="n">
        <f aca="false">'Income Statement'!F5/'Balance Sheet'!F45</f>
        <v>0.631696894236346</v>
      </c>
      <c r="H15" s="10" t="s">
        <v>276</v>
      </c>
    </row>
    <row r="16" customFormat="false" ht="15.75" hidden="false" customHeight="true" outlineLevel="0" collapsed="false">
      <c r="A16" s="31" t="s">
        <v>277</v>
      </c>
      <c r="B16" s="10" t="s">
        <v>278</v>
      </c>
      <c r="C16" s="32" t="n">
        <f aca="false">'Balance Sheet'!B47/'Balance Sheet'!B10</f>
        <v>1.38762319561162</v>
      </c>
      <c r="D16" s="32" t="n">
        <f aca="false">'Balance Sheet'!C47/'Balance Sheet'!C10</f>
        <v>1.23943985365254</v>
      </c>
      <c r="E16" s="32" t="n">
        <f aca="false">'Balance Sheet'!D47/'Balance Sheet'!D10</f>
        <v>1.20911137101771</v>
      </c>
      <c r="F16" s="32" t="n">
        <f aca="false">'Balance Sheet'!E47/'Balance Sheet'!E10</f>
        <v>1.20389982364514</v>
      </c>
      <c r="G16" s="32" t="n">
        <f aca="false">'Balance Sheet'!F47/'Balance Sheet'!F10</f>
        <v>1.24122616537745</v>
      </c>
      <c r="H16" s="10" t="s">
        <v>279</v>
      </c>
    </row>
    <row r="17" customFormat="false" ht="15.75" hidden="false" customHeight="true" outlineLevel="0" collapsed="false">
      <c r="A17" s="31" t="s">
        <v>280</v>
      </c>
      <c r="B17" s="10" t="s">
        <v>281</v>
      </c>
      <c r="C17" s="33" t="n">
        <f aca="false">'Income Statement'!B25/'Income Statement'!B11</f>
        <v>10.4494481236203</v>
      </c>
      <c r="D17" s="33" t="n">
        <f aca="false">'Income Statement'!C25/'Income Statement'!C11</f>
        <v>10.4424549232836</v>
      </c>
      <c r="E17" s="33" t="n">
        <f aca="false">'Income Statement'!D25/'Income Statement'!D11</f>
        <v>14.8656134629584</v>
      </c>
      <c r="F17" s="33" t="n">
        <f aca="false">'Income Statement'!E25/'Income Statement'!E11</f>
        <v>16.7067721938477</v>
      </c>
      <c r="G17" s="33" t="n">
        <f aca="false">'Income Statement'!F25/'Income Statement'!F11</f>
        <v>22.4296831670657</v>
      </c>
      <c r="H17" s="10" t="s">
        <v>282</v>
      </c>
    </row>
    <row r="18" customFormat="false" ht="15.75" hidden="false" customHeight="true" outlineLevel="0" collapsed="false">
      <c r="A18" s="31" t="s">
        <v>283</v>
      </c>
      <c r="B18" s="10" t="s">
        <v>284</v>
      </c>
      <c r="C18" s="35" t="n">
        <f aca="false">'Income Statement'!B26</f>
        <v>60.45</v>
      </c>
      <c r="D18" s="35" t="n">
        <f aca="false">'Income Statement'!C26</f>
        <v>74.5</v>
      </c>
      <c r="E18" s="35" t="n">
        <f aca="false">'Income Statement'!D26</f>
        <v>92.8</v>
      </c>
      <c r="F18" s="35" t="n">
        <f aca="false">'Income Statement'!E26</f>
        <v>124.5</v>
      </c>
      <c r="G18" s="35" t="n">
        <f aca="false">'Income Statement'!F26</f>
        <v>137.8</v>
      </c>
      <c r="H18" s="10" t="s">
        <v>285</v>
      </c>
    </row>
    <row r="19" customFormat="false" ht="15.75" hidden="false" customHeight="true" outlineLevel="0" collapsed="false">
      <c r="A19" s="31" t="s">
        <v>286</v>
      </c>
      <c r="B19" s="10" t="s">
        <v>287</v>
      </c>
      <c r="C19" s="14" t="n">
        <f aca="false">'Balance Sheet'!B10/'Cover &amp; Summary'!$B$10</f>
        <v>346.64969287246</v>
      </c>
      <c r="D19" s="14" t="n">
        <f aca="false">'Balance Sheet'!C10/'Cover &amp; Summary'!$B$10</f>
        <v>376.43012394141</v>
      </c>
      <c r="E19" s="14" t="n">
        <f aca="false">'Balance Sheet'!D10/'Cover &amp; Summary'!$B$10</f>
        <v>372.73165412714</v>
      </c>
      <c r="F19" s="14" t="n">
        <f aca="false">'Balance Sheet'!E10/'Cover &amp; Summary'!$B$10</f>
        <v>419.451459310144</v>
      </c>
      <c r="G19" s="14" t="n">
        <f aca="false">'Balance Sheet'!F10/'Cover &amp; Summary'!$B$10</f>
        <v>467.162650383455</v>
      </c>
      <c r="H19" s="10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4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4"/>
    <col collapsed="false" customWidth="true" hidden="false" outlineLevel="0" max="10" min="10" style="0" width="55"/>
  </cols>
  <sheetData>
    <row r="1" customFormat="false" ht="21.75" hidden="false" customHeight="true" outlineLevel="0" collapsed="false">
      <c r="A1" s="8" t="s">
        <v>289</v>
      </c>
    </row>
    <row r="3" customFormat="false" ht="15" hidden="false" customHeight="false" outlineLevel="0" collapsed="false">
      <c r="A3" s="36" t="s">
        <v>290</v>
      </c>
      <c r="G3" s="36" t="s">
        <v>291</v>
      </c>
      <c r="J3" s="37" t="s">
        <v>292</v>
      </c>
    </row>
    <row r="4" customFormat="false" ht="18" hidden="false" customHeight="true" outlineLevel="0" collapsed="false">
      <c r="A4" s="12" t="s">
        <v>293</v>
      </c>
      <c r="B4" s="12" t="s">
        <v>294</v>
      </c>
      <c r="C4" s="12" t="s">
        <v>295</v>
      </c>
      <c r="D4" s="12" t="s">
        <v>296</v>
      </c>
      <c r="E4" s="12" t="s">
        <v>297</v>
      </c>
      <c r="G4" s="9" t="s">
        <v>298</v>
      </c>
      <c r="H4" s="12" t="s">
        <v>60</v>
      </c>
      <c r="J4" s="9" t="s">
        <v>299</v>
      </c>
    </row>
    <row r="5" customFormat="false" ht="24" hidden="false" customHeight="true" outlineLevel="0" collapsed="false">
      <c r="A5" s="38" t="s">
        <v>300</v>
      </c>
      <c r="B5" s="14" t="n">
        <v>3260.15</v>
      </c>
      <c r="C5" s="39" t="s">
        <v>301</v>
      </c>
      <c r="D5" s="14" t="n">
        <v>22904.45</v>
      </c>
      <c r="E5" s="39" t="s">
        <v>301</v>
      </c>
      <c r="G5" s="4" t="s">
        <v>302</v>
      </c>
      <c r="H5" s="5" t="n">
        <f aca="false">SLOPE(C6:C57, E6:E57)</f>
        <v>1.1954335867242</v>
      </c>
      <c r="J5" s="10" t="s">
        <v>303</v>
      </c>
    </row>
    <row r="6" customFormat="false" ht="24" hidden="false" customHeight="true" outlineLevel="0" collapsed="false">
      <c r="A6" s="38" t="s">
        <v>304</v>
      </c>
      <c r="B6" s="14" t="n">
        <v>3115.95</v>
      </c>
      <c r="C6" s="39" t="n">
        <f aca="false">(B6-B5)/B5</f>
        <v>-0.0442310936613347</v>
      </c>
      <c r="D6" s="14" t="n">
        <v>22828.55</v>
      </c>
      <c r="E6" s="39" t="n">
        <f aca="false">(D6-D5)/D5</f>
        <v>-0.00331376653881676</v>
      </c>
      <c r="G6" s="4" t="s">
        <v>305</v>
      </c>
      <c r="H6" s="5" t="n">
        <f aca="false">INTERCEPT(C6:C57, E6:E57)</f>
        <v>0.00233925462201186</v>
      </c>
      <c r="J6" s="10" t="s">
        <v>306</v>
      </c>
    </row>
    <row r="7" customFormat="false" ht="24" hidden="false" customHeight="true" outlineLevel="0" collapsed="false">
      <c r="A7" s="38" t="s">
        <v>307</v>
      </c>
      <c r="B7" s="14" t="n">
        <v>3247.3</v>
      </c>
      <c r="C7" s="39" t="n">
        <f aca="false">(B7-B6)/B6</f>
        <v>0.0421540782104977</v>
      </c>
      <c r="D7" s="14" t="n">
        <v>23851.65</v>
      </c>
      <c r="E7" s="39" t="n">
        <f aca="false">(D7-D6)/D6</f>
        <v>0.0448166878754893</v>
      </c>
      <c r="G7" s="4" t="s">
        <v>308</v>
      </c>
      <c r="H7" s="5" t="n">
        <f aca="false">CORREL(C6:C57, E6:E57)^2</f>
        <v>0.388713903170439</v>
      </c>
      <c r="J7" s="10" t="s">
        <v>309</v>
      </c>
    </row>
    <row r="8" customFormat="false" ht="15" hidden="false" customHeight="false" outlineLevel="0" collapsed="false">
      <c r="A8" s="38" t="s">
        <v>310</v>
      </c>
      <c r="B8" s="14" t="n">
        <v>3272.1</v>
      </c>
      <c r="C8" s="39" t="n">
        <f aca="false">(B8-B7)/B7</f>
        <v>0.00763711391001747</v>
      </c>
      <c r="D8" s="14" t="n">
        <v>24039.35</v>
      </c>
      <c r="E8" s="39" t="n">
        <f aca="false">(D8-D7)/D7</f>
        <v>0.00786947653516621</v>
      </c>
      <c r="G8" s="4" t="s">
        <v>311</v>
      </c>
      <c r="H8" s="5" t="n">
        <f aca="false">CORREL(C6:C57, E6:E57)</f>
        <v>0.623469247974941</v>
      </c>
      <c r="J8" s="10" t="s">
        <v>312</v>
      </c>
    </row>
    <row r="9" customFormat="false" ht="15" hidden="false" customHeight="false" outlineLevel="0" collapsed="false">
      <c r="A9" s="38" t="s">
        <v>313</v>
      </c>
      <c r="B9" s="14" t="n">
        <v>3329.8</v>
      </c>
      <c r="C9" s="39" t="n">
        <f aca="false">(B9-B8)/B8</f>
        <v>0.0176339353931727</v>
      </c>
      <c r="D9" s="14" t="n">
        <v>24346.7</v>
      </c>
      <c r="E9" s="39" t="n">
        <f aca="false">(D9-D8)/D8</f>
        <v>0.0127852874557757</v>
      </c>
      <c r="G9" s="4" t="s">
        <v>314</v>
      </c>
      <c r="H9" s="5" t="n">
        <f aca="false">COUNT(C6:C57)</f>
        <v>52</v>
      </c>
      <c r="J9" s="10" t="s">
        <v>315</v>
      </c>
    </row>
    <row r="10" customFormat="false" ht="15" hidden="false" customHeight="false" outlineLevel="0" collapsed="false">
      <c r="A10" s="38" t="s">
        <v>316</v>
      </c>
      <c r="B10" s="14" t="n">
        <v>3443.9</v>
      </c>
      <c r="C10" s="39" t="n">
        <f aca="false">(B10-B9)/B9</f>
        <v>0.0342663223016397</v>
      </c>
      <c r="D10" s="14" t="n">
        <v>24008</v>
      </c>
      <c r="E10" s="39" t="n">
        <f aca="false">(D10-D9)/D9</f>
        <v>-0.0139115362656952</v>
      </c>
      <c r="G10" s="4" t="s">
        <v>317</v>
      </c>
      <c r="H10" s="5" t="n">
        <f aca="false">AVERAGE(C6:C57)</f>
        <v>0.00192694905810877</v>
      </c>
      <c r="J10" s="10" t="s">
        <v>318</v>
      </c>
    </row>
    <row r="11" customFormat="false" ht="15" hidden="false" customHeight="false" outlineLevel="0" collapsed="false">
      <c r="A11" s="38" t="s">
        <v>319</v>
      </c>
      <c r="B11" s="14" t="n">
        <v>3604.7</v>
      </c>
      <c r="C11" s="39" t="n">
        <f aca="false">(B11-B10)/B10</f>
        <v>0.0466912511977699</v>
      </c>
      <c r="D11" s="14" t="n">
        <v>25019.8</v>
      </c>
      <c r="E11" s="39" t="n">
        <f aca="false">(D11-D10)/D10</f>
        <v>0.0421442852382539</v>
      </c>
      <c r="G11" s="4" t="s">
        <v>320</v>
      </c>
      <c r="H11" s="5" t="n">
        <f aca="false">AVERAGE(E6:E57)</f>
        <v>-0.000344900434856371</v>
      </c>
      <c r="J11" s="10" t="s">
        <v>321</v>
      </c>
    </row>
    <row r="12" customFormat="false" ht="15" hidden="false" customHeight="false" outlineLevel="0" collapsed="false">
      <c r="A12" s="38" t="s">
        <v>322</v>
      </c>
      <c r="B12" s="14" t="n">
        <v>3599.9</v>
      </c>
      <c r="C12" s="39" t="n">
        <f aca="false">(B12-B11)/B11</f>
        <v>-0.00133159486226308</v>
      </c>
      <c r="D12" s="14" t="n">
        <v>24853.15</v>
      </c>
      <c r="E12" s="39" t="n">
        <f aca="false">(D12-D11)/D11</f>
        <v>-0.00666072470603274</v>
      </c>
      <c r="G12" s="4" t="s">
        <v>323</v>
      </c>
      <c r="H12" s="5" t="n">
        <f aca="false">STDEV(C6:C57)</f>
        <v>0.0326186164378562</v>
      </c>
      <c r="J12" s="10" t="s">
        <v>324</v>
      </c>
    </row>
    <row r="13" customFormat="false" ht="15" hidden="false" customHeight="false" outlineLevel="0" collapsed="false">
      <c r="A13" s="38" t="s">
        <v>325</v>
      </c>
      <c r="B13" s="14" t="n">
        <v>3675.1</v>
      </c>
      <c r="C13" s="39" t="n">
        <f aca="false">(B13-B12)/B12</f>
        <v>0.0208894691519208</v>
      </c>
      <c r="D13" s="14" t="n">
        <v>24750.7</v>
      </c>
      <c r="E13" s="39" t="n">
        <f aca="false">(D13-D12)/D12</f>
        <v>-0.00412221388435674</v>
      </c>
      <c r="G13" s="4" t="s">
        <v>326</v>
      </c>
      <c r="H13" s="5" t="n">
        <f aca="false">STDEV(E6:E57)</f>
        <v>0.0170119900313502</v>
      </c>
      <c r="J13" s="10" t="s">
        <v>327</v>
      </c>
    </row>
    <row r="14" customFormat="false" ht="15" hidden="false" customHeight="false" outlineLevel="0" collapsed="false">
      <c r="A14" s="38" t="s">
        <v>328</v>
      </c>
      <c r="B14" s="14" t="n">
        <v>3656.3</v>
      </c>
      <c r="C14" s="39" t="n">
        <f aca="false">(B14-B13)/B13</f>
        <v>-0.00511550706103228</v>
      </c>
      <c r="D14" s="14" t="n">
        <v>25003.05</v>
      </c>
      <c r="E14" s="39" t="n">
        <f aca="false">(D14-D13)/D13</f>
        <v>0.0101956712335408</v>
      </c>
      <c r="G14" s="21" t="s">
        <v>329</v>
      </c>
      <c r="H14" s="40" t="n">
        <f aca="false">H5</f>
        <v>1.1954335867242</v>
      </c>
      <c r="J14" s="10"/>
    </row>
    <row r="15" customFormat="false" ht="15" hidden="false" customHeight="false" outlineLevel="0" collapsed="false">
      <c r="A15" s="38" t="s">
        <v>330</v>
      </c>
      <c r="B15" s="14" t="n">
        <v>3587.4</v>
      </c>
      <c r="C15" s="39" t="n">
        <f aca="false">(B15-B14)/B14</f>
        <v>-0.0188441867461642</v>
      </c>
      <c r="D15" s="14" t="n">
        <v>24718.6</v>
      </c>
      <c r="E15" s="39" t="n">
        <f aca="false">(D15-D14)/D14</f>
        <v>-0.0113766120533295</v>
      </c>
      <c r="G15" s="21" t="s">
        <v>331</v>
      </c>
      <c r="H15" s="40" t="n">
        <f aca="false">1/3 + 2/3*H14</f>
        <v>1.13028905781613</v>
      </c>
      <c r="J15" s="10" t="s">
        <v>332</v>
      </c>
    </row>
    <row r="16" customFormat="false" ht="15" hidden="false" customHeight="false" outlineLevel="0" collapsed="false">
      <c r="A16" s="38" t="s">
        <v>333</v>
      </c>
      <c r="B16" s="14" t="n">
        <v>3662</v>
      </c>
      <c r="C16" s="39" t="n">
        <f aca="false">(B16-B15)/B15</f>
        <v>0.020795004738808</v>
      </c>
      <c r="D16" s="14" t="n">
        <v>25112.4</v>
      </c>
      <c r="E16" s="39" t="n">
        <f aca="false">(D16-D15)/D15</f>
        <v>0.0159313229713658</v>
      </c>
      <c r="G16" s="21" t="s">
        <v>334</v>
      </c>
      <c r="H16" s="40" t="n">
        <f aca="false">H15</f>
        <v>1.13028905781613</v>
      </c>
      <c r="J16" s="10" t="s">
        <v>335</v>
      </c>
    </row>
    <row r="17" customFormat="false" ht="15" hidden="false" customHeight="false" outlineLevel="0" collapsed="false">
      <c r="A17" s="38" t="s">
        <v>336</v>
      </c>
      <c r="B17" s="14" t="n">
        <v>3679.2</v>
      </c>
      <c r="C17" s="39" t="n">
        <f aca="false">(B17-B16)/B16</f>
        <v>0.00469688694702343</v>
      </c>
      <c r="D17" s="14" t="n">
        <v>25637.8</v>
      </c>
      <c r="E17" s="39" t="n">
        <f aca="false">(D17-D16)/D16</f>
        <v>0.0209219349803284</v>
      </c>
    </row>
    <row r="18" customFormat="false" ht="15" hidden="false" customHeight="false" outlineLevel="0" collapsed="false">
      <c r="A18" s="38" t="s">
        <v>337</v>
      </c>
      <c r="B18" s="14" t="n">
        <v>3594.6</v>
      </c>
      <c r="C18" s="39" t="n">
        <f aca="false">(B18-B17)/B17</f>
        <v>-0.0229941291585127</v>
      </c>
      <c r="D18" s="14" t="n">
        <v>25461</v>
      </c>
      <c r="E18" s="39" t="n">
        <f aca="false">(D18-D17)/D17</f>
        <v>-0.00689606752529465</v>
      </c>
    </row>
    <row r="19" customFormat="false" ht="15" hidden="false" customHeight="false" outlineLevel="0" collapsed="false">
      <c r="A19" s="38" t="s">
        <v>338</v>
      </c>
      <c r="B19" s="14" t="n">
        <v>3540.6</v>
      </c>
      <c r="C19" s="39" t="n">
        <f aca="false">(B19-B18)/B18</f>
        <v>-0.0150225338007011</v>
      </c>
      <c r="D19" s="14" t="n">
        <v>25149.85</v>
      </c>
      <c r="E19" s="39" t="n">
        <f aca="false">(D19-D18)/D18</f>
        <v>-0.0122206511920192</v>
      </c>
    </row>
    <row r="20" customFormat="false" ht="15" hidden="false" customHeight="false" outlineLevel="0" collapsed="false">
      <c r="A20" s="38" t="s">
        <v>339</v>
      </c>
      <c r="B20" s="14" t="n">
        <v>3464.8</v>
      </c>
      <c r="C20" s="39" t="n">
        <f aca="false">(B20-B19)/B19</f>
        <v>-0.0214088007682313</v>
      </c>
      <c r="D20" s="14" t="n">
        <v>24968.4</v>
      </c>
      <c r="E20" s="39" t="n">
        <f aca="false">(D20-D19)/D19</f>
        <v>-0.00721475475996863</v>
      </c>
    </row>
    <row r="21" customFormat="false" ht="15" hidden="false" customHeight="false" outlineLevel="0" collapsed="false">
      <c r="A21" s="38" t="s">
        <v>340</v>
      </c>
      <c r="B21" s="14" t="n">
        <v>3442.9</v>
      </c>
      <c r="C21" s="39" t="n">
        <f aca="false">(B21-B20)/B20</f>
        <v>-0.00632071115215888</v>
      </c>
      <c r="D21" s="14" t="n">
        <v>24837</v>
      </c>
      <c r="E21" s="39" t="n">
        <f aca="false">(D21-D20)/D20</f>
        <v>-0.0052626519921181</v>
      </c>
    </row>
    <row r="22" customFormat="false" ht="15" hidden="false" customHeight="false" outlineLevel="0" collapsed="false">
      <c r="A22" s="38" t="s">
        <v>341</v>
      </c>
      <c r="B22" s="14" t="n">
        <v>3587.3</v>
      </c>
      <c r="C22" s="39" t="n">
        <f aca="false">(B22-B21)/B21</f>
        <v>0.0419413866217433</v>
      </c>
      <c r="D22" s="14" t="n">
        <v>24565.35</v>
      </c>
      <c r="E22" s="39" t="n">
        <f aca="false">(D22-D21)/D21</f>
        <v>-0.010937311269477</v>
      </c>
    </row>
    <row r="23" customFormat="false" ht="15" hidden="false" customHeight="false" outlineLevel="0" collapsed="false">
      <c r="A23" s="38" t="s">
        <v>342</v>
      </c>
      <c r="B23" s="14" t="n">
        <v>3607.6</v>
      </c>
      <c r="C23" s="39" t="n">
        <f aca="false">(B23-B22)/B22</f>
        <v>0.00565885206143889</v>
      </c>
      <c r="D23" s="14" t="n">
        <v>24363.3</v>
      </c>
      <c r="E23" s="39" t="n">
        <f aca="false">(D23-D22)/D22</f>
        <v>-0.00822499984734593</v>
      </c>
    </row>
    <row r="24" customFormat="false" ht="15" hidden="false" customHeight="false" outlineLevel="0" collapsed="false">
      <c r="A24" s="38" t="s">
        <v>343</v>
      </c>
      <c r="B24" s="14" t="n">
        <v>3677</v>
      </c>
      <c r="C24" s="39" t="n">
        <f aca="false">(B24-B23)/B23</f>
        <v>0.019237165982925</v>
      </c>
      <c r="D24" s="14" t="n">
        <v>24631.3</v>
      </c>
      <c r="E24" s="39" t="n">
        <f aca="false">(D24-D23)/D23</f>
        <v>0.0110001518677683</v>
      </c>
    </row>
    <row r="25" customFormat="false" ht="15" hidden="false" customHeight="false" outlineLevel="0" collapsed="false">
      <c r="A25" s="38" t="s">
        <v>344</v>
      </c>
      <c r="B25" s="14" t="n">
        <v>3595.8</v>
      </c>
      <c r="C25" s="39" t="n">
        <f aca="false">(B25-B24)/B24</f>
        <v>-0.0220832200163176</v>
      </c>
      <c r="D25" s="14" t="n">
        <v>24870.1</v>
      </c>
      <c r="E25" s="39" t="n">
        <f aca="false">(D25-D24)/D24</f>
        <v>0.00969498158846668</v>
      </c>
    </row>
    <row r="26" customFormat="false" ht="15" hidden="false" customHeight="false" outlineLevel="0" collapsed="false">
      <c r="A26" s="38" t="s">
        <v>345</v>
      </c>
      <c r="B26" s="14" t="n">
        <v>3601</v>
      </c>
      <c r="C26" s="39" t="n">
        <f aca="false">(B26-B25)/B25</f>
        <v>0.00144613159797537</v>
      </c>
      <c r="D26" s="14" t="n">
        <v>24426.85</v>
      </c>
      <c r="E26" s="39" t="n">
        <f aca="false">(D26-D25)/D25</f>
        <v>-0.0178226062621381</v>
      </c>
    </row>
    <row r="27" customFormat="false" ht="15" hidden="false" customHeight="false" outlineLevel="0" collapsed="false">
      <c r="A27" s="38" t="s">
        <v>346</v>
      </c>
      <c r="B27" s="14" t="n">
        <v>3553.6</v>
      </c>
      <c r="C27" s="39" t="n">
        <f aca="false">(B27-B26)/B26</f>
        <v>-0.0131630102749237</v>
      </c>
      <c r="D27" s="14" t="n">
        <v>24741</v>
      </c>
      <c r="E27" s="39" t="n">
        <f aca="false">(D27-D26)/D26</f>
        <v>0.0128608477965846</v>
      </c>
    </row>
    <row r="28" customFormat="false" ht="15" hidden="false" customHeight="false" outlineLevel="0" collapsed="false">
      <c r="A28" s="38" t="s">
        <v>347</v>
      </c>
      <c r="B28" s="14" t="n">
        <v>3579.8</v>
      </c>
      <c r="C28" s="39" t="n">
        <f aca="false">(B28-B27)/B27</f>
        <v>0.0073728050427736</v>
      </c>
      <c r="D28" s="14" t="n">
        <v>25114</v>
      </c>
      <c r="E28" s="39" t="n">
        <f aca="false">(D28-D27)/D27</f>
        <v>0.0150761893213694</v>
      </c>
    </row>
    <row r="29" customFormat="false" ht="15" hidden="false" customHeight="false" outlineLevel="0" collapsed="false">
      <c r="A29" s="38" t="s">
        <v>348</v>
      </c>
      <c r="B29" s="14" t="n">
        <v>3675.4</v>
      </c>
      <c r="C29" s="39" t="n">
        <f aca="false">(B29-B28)/B28</f>
        <v>0.0267054025364545</v>
      </c>
      <c r="D29" s="14" t="n">
        <v>25327.05</v>
      </c>
      <c r="E29" s="39" t="n">
        <f aca="false">(D29-D28)/D28</f>
        <v>0.00848331607868118</v>
      </c>
    </row>
    <row r="30" customFormat="false" ht="15" hidden="false" customHeight="false" outlineLevel="0" collapsed="false">
      <c r="A30" s="38" t="s">
        <v>349</v>
      </c>
      <c r="B30" s="14" t="n">
        <v>3729.5</v>
      </c>
      <c r="C30" s="39" t="n">
        <f aca="false">(B30-B29)/B29</f>
        <v>0.0147194863144147</v>
      </c>
      <c r="D30" s="14" t="n">
        <v>24654.7</v>
      </c>
      <c r="E30" s="39" t="n">
        <f aca="false">(D30-D29)/D29</f>
        <v>-0.0265467158630791</v>
      </c>
    </row>
    <row r="31" customFormat="false" ht="15" hidden="false" customHeight="false" outlineLevel="0" collapsed="false">
      <c r="A31" s="38" t="s">
        <v>350</v>
      </c>
      <c r="B31" s="14" t="n">
        <v>3733.1</v>
      </c>
      <c r="C31" s="39" t="n">
        <f aca="false">(B31-B30)/B30</f>
        <v>0.000965276846762276</v>
      </c>
      <c r="D31" s="14" t="n">
        <v>24894.25</v>
      </c>
      <c r="E31" s="39" t="n">
        <f aca="false">(D31-D30)/D30</f>
        <v>0.00971620015656241</v>
      </c>
    </row>
    <row r="32" customFormat="false" ht="15" hidden="false" customHeight="false" outlineLevel="0" collapsed="false">
      <c r="A32" s="38" t="s">
        <v>351</v>
      </c>
      <c r="B32" s="14" t="n">
        <v>3784</v>
      </c>
      <c r="C32" s="39" t="n">
        <f aca="false">(B32-B31)/B31</f>
        <v>0.0136347807452252</v>
      </c>
      <c r="D32" s="14" t="n">
        <v>25285.35</v>
      </c>
      <c r="E32" s="39" t="n">
        <f aca="false">(D32-D31)/D31</f>
        <v>0.0157104552256043</v>
      </c>
    </row>
    <row r="33" customFormat="false" ht="15" hidden="false" customHeight="false" outlineLevel="0" collapsed="false">
      <c r="A33" s="38" t="s">
        <v>352</v>
      </c>
      <c r="B33" s="14" t="n">
        <v>3839.4</v>
      </c>
      <c r="C33" s="39" t="n">
        <f aca="false">(B33-B32)/B32</f>
        <v>0.0146405919661734</v>
      </c>
      <c r="D33" s="14" t="n">
        <v>25709.85</v>
      </c>
      <c r="E33" s="39" t="n">
        <f aca="false">(D33-D32)/D32</f>
        <v>0.0167883774596753</v>
      </c>
    </row>
    <row r="34" customFormat="false" ht="15" hidden="false" customHeight="false" outlineLevel="0" collapsed="false">
      <c r="A34" s="38" t="s">
        <v>353</v>
      </c>
      <c r="B34" s="14" t="n">
        <v>3904.9</v>
      </c>
      <c r="C34" s="39" t="n">
        <f aca="false">(B34-B33)/B33</f>
        <v>0.0170599572849924</v>
      </c>
      <c r="D34" s="14" t="n">
        <v>25795.15</v>
      </c>
      <c r="E34" s="39" t="n">
        <f aca="false">(D34-D33)/D33</f>
        <v>0.00331779454178079</v>
      </c>
    </row>
    <row r="35" customFormat="false" ht="15" hidden="false" customHeight="false" outlineLevel="0" collapsed="false">
      <c r="A35" s="38" t="s">
        <v>354</v>
      </c>
      <c r="B35" s="14" t="n">
        <v>4030.9</v>
      </c>
      <c r="C35" s="39" t="n">
        <f aca="false">(B35-B34)/B34</f>
        <v>0.0322671515275679</v>
      </c>
      <c r="D35" s="14" t="n">
        <v>25722.1</v>
      </c>
      <c r="E35" s="39" t="n">
        <f aca="false">(D35-D34)/D34</f>
        <v>-0.00283192770734045</v>
      </c>
    </row>
    <row r="36" customFormat="false" ht="15" hidden="false" customHeight="false" outlineLevel="0" collapsed="false">
      <c r="A36" s="38" t="s">
        <v>355</v>
      </c>
      <c r="B36" s="14" t="n">
        <v>3882.5</v>
      </c>
      <c r="C36" s="39" t="n">
        <f aca="false">(B36-B35)/B35</f>
        <v>-0.0368155994939096</v>
      </c>
      <c r="D36" s="14" t="n">
        <v>25492.3</v>
      </c>
      <c r="E36" s="39" t="n">
        <f aca="false">(D36-D35)/D35</f>
        <v>-0.00893395173799959</v>
      </c>
    </row>
    <row r="37" customFormat="false" ht="15" hidden="false" customHeight="false" outlineLevel="0" collapsed="false">
      <c r="A37" s="38" t="s">
        <v>356</v>
      </c>
      <c r="B37" s="14" t="n">
        <v>4004.4</v>
      </c>
      <c r="C37" s="39" t="n">
        <f aca="false">(B37-B36)/B36</f>
        <v>0.0313972955569865</v>
      </c>
      <c r="D37" s="14" t="n">
        <v>25910.05</v>
      </c>
      <c r="E37" s="39" t="n">
        <f aca="false">(D37-D36)/D36</f>
        <v>0.0163873012635188</v>
      </c>
    </row>
    <row r="38" customFormat="false" ht="15" hidden="false" customHeight="false" outlineLevel="0" collapsed="false">
      <c r="A38" s="38" t="s">
        <v>357</v>
      </c>
      <c r="B38" s="14" t="n">
        <v>4024.9</v>
      </c>
      <c r="C38" s="39" t="n">
        <f aca="false">(B38-B37)/B37</f>
        <v>0.00511936869443612</v>
      </c>
      <c r="D38" s="14" t="n">
        <v>26068.15</v>
      </c>
      <c r="E38" s="39" t="n">
        <f aca="false">(D38-D37)/D37</f>
        <v>0.00610187938657016</v>
      </c>
    </row>
    <row r="39" customFormat="false" ht="15" hidden="false" customHeight="false" outlineLevel="0" collapsed="false">
      <c r="A39" s="38" t="s">
        <v>358</v>
      </c>
      <c r="B39" s="14" t="n">
        <v>4069.6</v>
      </c>
      <c r="C39" s="39" t="n">
        <f aca="false">(B39-B38)/B38</f>
        <v>0.011105865984248</v>
      </c>
      <c r="D39" s="14" t="n">
        <v>26202.95</v>
      </c>
      <c r="E39" s="39" t="n">
        <f aca="false">(D39-D38)/D38</f>
        <v>0.00517106123756382</v>
      </c>
    </row>
    <row r="40" customFormat="false" ht="15" hidden="false" customHeight="false" outlineLevel="0" collapsed="false">
      <c r="A40" s="38" t="s">
        <v>359</v>
      </c>
      <c r="B40" s="14" t="n">
        <v>4038.2</v>
      </c>
      <c r="C40" s="39" t="n">
        <f aca="false">(B40-B39)/B39</f>
        <v>-0.00771574601926482</v>
      </c>
      <c r="D40" s="14" t="n">
        <v>26186.45</v>
      </c>
      <c r="E40" s="39" t="n">
        <f aca="false">(D40-D39)/D39</f>
        <v>-0.000629700091020286</v>
      </c>
    </row>
    <row r="41" customFormat="false" ht="15" hidden="false" customHeight="false" outlineLevel="0" collapsed="false">
      <c r="A41" s="38" t="s">
        <v>360</v>
      </c>
      <c r="B41" s="14" t="n">
        <v>4074.1</v>
      </c>
      <c r="C41" s="39" t="n">
        <f aca="false">(B41-B40)/B40</f>
        <v>0.00889009954930417</v>
      </c>
      <c r="D41" s="14" t="n">
        <v>26046.95</v>
      </c>
      <c r="E41" s="39" t="n">
        <f aca="false">(D41-D40)/D40</f>
        <v>-0.00532718256961138</v>
      </c>
    </row>
    <row r="42" customFormat="false" ht="15" hidden="false" customHeight="false" outlineLevel="0" collapsed="false">
      <c r="A42" s="38" t="s">
        <v>361</v>
      </c>
      <c r="B42" s="14" t="n">
        <v>4073.5</v>
      </c>
      <c r="C42" s="39" t="n">
        <f aca="false">(B42-B41)/B41</f>
        <v>-0.000147271790088586</v>
      </c>
      <c r="D42" s="14" t="n">
        <v>25966.4</v>
      </c>
      <c r="E42" s="39" t="n">
        <f aca="false">(D42-D41)/D41</f>
        <v>-0.00309249259510228</v>
      </c>
    </row>
    <row r="43" customFormat="false" ht="15" hidden="false" customHeight="false" outlineLevel="0" collapsed="false">
      <c r="A43" s="38" t="s">
        <v>362</v>
      </c>
      <c r="B43" s="14" t="n">
        <v>4047.3</v>
      </c>
      <c r="C43" s="39" t="n">
        <f aca="false">(B43-B42)/B42</f>
        <v>-0.00643181539216885</v>
      </c>
      <c r="D43" s="14" t="n">
        <v>26042.3</v>
      </c>
      <c r="E43" s="39" t="n">
        <f aca="false">(D43-D42)/D42</f>
        <v>0.00292300819520603</v>
      </c>
    </row>
    <row r="44" customFormat="false" ht="15" hidden="false" customHeight="false" outlineLevel="0" collapsed="false">
      <c r="A44" s="38" t="s">
        <v>363</v>
      </c>
      <c r="B44" s="14" t="n">
        <v>4163.4</v>
      </c>
      <c r="C44" s="39" t="n">
        <f aca="false">(B44-B43)/B43</f>
        <v>0.0286857905270179</v>
      </c>
      <c r="D44" s="14" t="n">
        <v>26328.55</v>
      </c>
      <c r="E44" s="39" t="n">
        <f aca="false">(D44-D43)/D43</f>
        <v>0.0109917326810612</v>
      </c>
    </row>
    <row r="45" customFormat="false" ht="15" hidden="false" customHeight="false" outlineLevel="0" collapsed="false">
      <c r="A45" s="38" t="s">
        <v>364</v>
      </c>
      <c r="B45" s="14" t="n">
        <v>4025.2</v>
      </c>
      <c r="C45" s="39" t="n">
        <f aca="false">(B45-B44)/B44</f>
        <v>-0.033194024114906</v>
      </c>
      <c r="D45" s="14" t="n">
        <v>25683.3</v>
      </c>
      <c r="E45" s="39" t="n">
        <f aca="false">(D45-D44)/D44</f>
        <v>-0.024507616256877</v>
      </c>
    </row>
    <row r="46" customFormat="false" ht="15" hidden="false" customHeight="false" outlineLevel="0" collapsed="false">
      <c r="A46" s="38" t="s">
        <v>365</v>
      </c>
      <c r="B46" s="14" t="n">
        <v>3856.4</v>
      </c>
      <c r="C46" s="39" t="n">
        <f aca="false">(B46-B45)/B45</f>
        <v>-0.0419358044320778</v>
      </c>
      <c r="D46" s="14" t="n">
        <v>25694.35</v>
      </c>
      <c r="E46" s="39" t="n">
        <f aca="false">(D46-D45)/D45</f>
        <v>0.000430240662220169</v>
      </c>
    </row>
    <row r="47" customFormat="false" ht="15" hidden="false" customHeight="false" outlineLevel="0" collapsed="false">
      <c r="A47" s="38" t="s">
        <v>366</v>
      </c>
      <c r="B47" s="14" t="n">
        <v>3743.8</v>
      </c>
      <c r="C47" s="39" t="n">
        <f aca="false">(B47-B46)/B46</f>
        <v>-0.029198215952702</v>
      </c>
      <c r="D47" s="14" t="n">
        <v>25048.65</v>
      </c>
      <c r="E47" s="39" t="n">
        <f aca="false">(D47-D46)/D46</f>
        <v>-0.0251300383158164</v>
      </c>
    </row>
    <row r="48" customFormat="false" ht="15" hidden="false" customHeight="false" outlineLevel="0" collapsed="false">
      <c r="A48" s="38" t="s">
        <v>367</v>
      </c>
      <c r="B48" s="14" t="n">
        <v>3932.3</v>
      </c>
      <c r="C48" s="39" t="n">
        <f aca="false">(B48-B47)/B47</f>
        <v>0.0503499118542657</v>
      </c>
      <c r="D48" s="14" t="n">
        <v>25320.65</v>
      </c>
      <c r="E48" s="39" t="n">
        <f aca="false">(D48-D47)/D47</f>
        <v>0.0108588686416234</v>
      </c>
    </row>
    <row r="49" customFormat="false" ht="15" hidden="false" customHeight="false" outlineLevel="0" collapsed="false">
      <c r="A49" s="38" t="s">
        <v>368</v>
      </c>
      <c r="B49" s="14" t="n">
        <v>4068.1</v>
      </c>
      <c r="C49" s="39" t="n">
        <f aca="false">(B49-B48)/B48</f>
        <v>0.0345344963507361</v>
      </c>
      <c r="D49" s="14" t="n">
        <v>25693.7</v>
      </c>
      <c r="E49" s="39" t="n">
        <f aca="false">(D49-D48)/D48</f>
        <v>0.0147330341045747</v>
      </c>
    </row>
    <row r="50" customFormat="false" ht="15" hidden="false" customHeight="false" outlineLevel="0" collapsed="false">
      <c r="A50" s="38" t="s">
        <v>369</v>
      </c>
      <c r="B50" s="14" t="n">
        <v>4173.9</v>
      </c>
      <c r="C50" s="39" t="n">
        <f aca="false">(B50-B49)/B49</f>
        <v>0.0260072269609891</v>
      </c>
      <c r="D50" s="14" t="n">
        <v>25471.1</v>
      </c>
      <c r="E50" s="39" t="n">
        <f aca="false">(D50-D49)/D49</f>
        <v>-0.00866360236166851</v>
      </c>
    </row>
    <row r="51" customFormat="false" ht="15" hidden="false" customHeight="false" outlineLevel="0" collapsed="false">
      <c r="A51" s="38" t="s">
        <v>370</v>
      </c>
      <c r="B51" s="14" t="n">
        <v>4380.6</v>
      </c>
      <c r="C51" s="39" t="n">
        <f aca="false">(B51-B50)/B50</f>
        <v>0.0495220297563432</v>
      </c>
      <c r="D51" s="14" t="n">
        <v>25571.25</v>
      </c>
      <c r="E51" s="39" t="n">
        <f aca="false">(D51-D50)/D50</f>
        <v>0.00393190714181961</v>
      </c>
    </row>
    <row r="52" customFormat="false" ht="15" hidden="false" customHeight="false" outlineLevel="0" collapsed="false">
      <c r="A52" s="38" t="s">
        <v>371</v>
      </c>
      <c r="B52" s="14" t="n">
        <v>4278.3</v>
      </c>
      <c r="C52" s="39" t="n">
        <f aca="false">(B52-B51)/B51</f>
        <v>-0.0233529653472128</v>
      </c>
      <c r="D52" s="14" t="n">
        <v>25178.65</v>
      </c>
      <c r="E52" s="39" t="n">
        <f aca="false">(D52-D51)/D51</f>
        <v>-0.0153531798406413</v>
      </c>
    </row>
    <row r="53" customFormat="false" ht="15" hidden="false" customHeight="false" outlineLevel="0" collapsed="false">
      <c r="A53" s="38" t="s">
        <v>372</v>
      </c>
      <c r="B53" s="14" t="n">
        <v>3949.8</v>
      </c>
      <c r="C53" s="39" t="n">
        <f aca="false">(B53-B52)/B52</f>
        <v>-0.0767828343033448</v>
      </c>
      <c r="D53" s="14" t="n">
        <v>24450.45</v>
      </c>
      <c r="E53" s="39" t="n">
        <f aca="false">(D53-D52)/D52</f>
        <v>-0.0289213281887631</v>
      </c>
    </row>
    <row r="54" customFormat="false" ht="15" hidden="false" customHeight="false" outlineLevel="0" collapsed="false">
      <c r="A54" s="38" t="s">
        <v>373</v>
      </c>
      <c r="B54" s="14" t="n">
        <v>3439</v>
      </c>
      <c r="C54" s="39" t="n">
        <f aca="false">(B54-B53)/B53</f>
        <v>-0.12932300369639</v>
      </c>
      <c r="D54" s="14" t="n">
        <v>23151.1</v>
      </c>
      <c r="E54" s="39" t="n">
        <f aca="false">(D54-D53)/D53</f>
        <v>-0.053142171207483</v>
      </c>
    </row>
    <row r="55" customFormat="false" ht="15" hidden="false" customHeight="false" outlineLevel="0" collapsed="false">
      <c r="A55" s="38" t="s">
        <v>374</v>
      </c>
      <c r="B55" s="14" t="n">
        <v>3434.8</v>
      </c>
      <c r="C55" s="39" t="n">
        <f aca="false">(B55-B54)/B54</f>
        <v>-0.0012212852573422</v>
      </c>
      <c r="D55" s="14" t="n">
        <v>23114.5</v>
      </c>
      <c r="E55" s="39" t="n">
        <f aca="false">(D55-D54)/D54</f>
        <v>-0.00158091840128541</v>
      </c>
    </row>
    <row r="56" customFormat="false" ht="15" hidden="false" customHeight="false" outlineLevel="0" collapsed="false">
      <c r="A56" s="38" t="s">
        <v>375</v>
      </c>
      <c r="B56" s="14" t="n">
        <v>3564.1</v>
      </c>
      <c r="C56" s="39" t="n">
        <f aca="false">(B56-B55)/B55</f>
        <v>0.0376441131943635</v>
      </c>
      <c r="D56" s="14" t="n">
        <v>22819.6</v>
      </c>
      <c r="E56" s="39" t="n">
        <f aca="false">(D56-D55)/D55</f>
        <v>-0.0127582253563781</v>
      </c>
    </row>
    <row r="57" customFormat="false" ht="15" hidden="false" customHeight="false" outlineLevel="0" collapsed="false">
      <c r="A57" s="38" t="s">
        <v>376</v>
      </c>
      <c r="B57" s="14" t="n">
        <v>3504.1</v>
      </c>
      <c r="C57" s="39" t="n">
        <f aca="false">(B57-B56)/B56</f>
        <v>-0.0168345444852838</v>
      </c>
      <c r="D57" s="14" t="n">
        <v>22331.4</v>
      </c>
      <c r="E57" s="39" t="n">
        <f aca="false">(D57-D56)/D56</f>
        <v>-0.0213938894634436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21.75" hidden="false" customHeight="true" outlineLevel="0" collapsed="false">
      <c r="A1" s="8" t="s">
        <v>377</v>
      </c>
    </row>
    <row r="3" customFormat="false" ht="15.75" hidden="false" customHeight="true" outlineLevel="0" collapsed="false">
      <c r="A3" s="3" t="s">
        <v>378</v>
      </c>
      <c r="B3" s="3"/>
      <c r="C3" s="3"/>
    </row>
    <row r="4" customFormat="false" ht="15" hidden="false" customHeight="false" outlineLevel="0" collapsed="false">
      <c r="A4" s="9" t="s">
        <v>59</v>
      </c>
      <c r="B4" s="9" t="s">
        <v>60</v>
      </c>
      <c r="C4" s="9" t="s">
        <v>379</v>
      </c>
    </row>
    <row r="5" customFormat="false" ht="15" hidden="false" customHeight="false" outlineLevel="0" collapsed="false">
      <c r="A5" s="4" t="s">
        <v>104</v>
      </c>
      <c r="B5" s="7" t="n">
        <f aca="false">'Assumptions &amp; Drivers'!$B$28</f>
        <v>0.071</v>
      </c>
      <c r="C5" s="6" t="s">
        <v>380</v>
      </c>
    </row>
    <row r="6" customFormat="false" ht="15" hidden="false" customHeight="false" outlineLevel="0" collapsed="false">
      <c r="A6" s="4" t="s">
        <v>381</v>
      </c>
      <c r="B6" s="7" t="n">
        <f aca="false">'Beta Calculation'!H16</f>
        <v>1.13028905781613</v>
      </c>
      <c r="C6" s="6" t="s">
        <v>382</v>
      </c>
    </row>
    <row r="7" customFormat="false" ht="15" hidden="false" customHeight="false" outlineLevel="0" collapsed="false">
      <c r="A7" s="4" t="s">
        <v>106</v>
      </c>
      <c r="B7" s="7" t="n">
        <f aca="false">'Assumptions &amp; Drivers'!$B$29</f>
        <v>0.06</v>
      </c>
      <c r="C7" s="6" t="s">
        <v>383</v>
      </c>
    </row>
    <row r="8" customFormat="false" ht="18" hidden="false" customHeight="true" outlineLevel="0" collapsed="false">
      <c r="A8" s="4" t="s">
        <v>384</v>
      </c>
      <c r="B8" s="41" t="n">
        <f aca="false">B5+B6*B7</f>
        <v>0.138817343468968</v>
      </c>
      <c r="C8" s="6" t="s">
        <v>385</v>
      </c>
    </row>
    <row r="10" customFormat="false" ht="15.75" hidden="false" customHeight="true" outlineLevel="0" collapsed="false">
      <c r="A10" s="3" t="s">
        <v>386</v>
      </c>
      <c r="B10" s="3"/>
      <c r="C10" s="3"/>
    </row>
    <row r="11" customFormat="false" ht="15" hidden="false" customHeight="false" outlineLevel="0" collapsed="false">
      <c r="A11" s="9" t="s">
        <v>59</v>
      </c>
      <c r="B11" s="9" t="s">
        <v>60</v>
      </c>
      <c r="C11" s="9" t="s">
        <v>379</v>
      </c>
    </row>
    <row r="12" customFormat="false" ht="15" hidden="false" customHeight="false" outlineLevel="0" collapsed="false">
      <c r="A12" s="4" t="s">
        <v>387</v>
      </c>
      <c r="B12" s="7" t="n">
        <f aca="false">'Assumptions &amp; Drivers'!$B$26</f>
        <v>0.078</v>
      </c>
      <c r="C12" s="6" t="s">
        <v>388</v>
      </c>
    </row>
    <row r="13" customFormat="false" ht="15" hidden="false" customHeight="false" outlineLevel="0" collapsed="false">
      <c r="A13" s="4" t="s">
        <v>389</v>
      </c>
      <c r="B13" s="7" t="n">
        <f aca="false">'Assumptions &amp; Drivers'!$B$14</f>
        <v>0.2517</v>
      </c>
      <c r="C13" s="6" t="s">
        <v>390</v>
      </c>
    </row>
    <row r="14" customFormat="false" ht="15" hidden="false" customHeight="false" outlineLevel="0" collapsed="false">
      <c r="A14" s="4" t="s">
        <v>391</v>
      </c>
      <c r="B14" s="7" t="n">
        <f aca="false">B12*(1-B13)</f>
        <v>0.0583674</v>
      </c>
      <c r="C14" s="6" t="s">
        <v>392</v>
      </c>
    </row>
    <row r="15" customFormat="false" ht="15" hidden="false" customHeight="false" outlineLevel="0" collapsed="false">
      <c r="A15" s="4" t="s">
        <v>13</v>
      </c>
      <c r="B15" s="5" t="n">
        <f aca="false">'Cover &amp; Summary'!B11</f>
        <v>990468</v>
      </c>
      <c r="C15" s="6" t="s">
        <v>393</v>
      </c>
    </row>
    <row r="16" customFormat="false" ht="15" hidden="false" customHeight="false" outlineLevel="0" collapsed="false">
      <c r="A16" s="4" t="s">
        <v>394</v>
      </c>
      <c r="B16" s="5" t="n">
        <f aca="false">'Balance Sheet'!F47</f>
        <v>159535.37</v>
      </c>
      <c r="C16" s="6" t="s">
        <v>395</v>
      </c>
    </row>
    <row r="17" customFormat="false" ht="15" hidden="false" customHeight="false" outlineLevel="0" collapsed="false">
      <c r="A17" s="4" t="s">
        <v>396</v>
      </c>
      <c r="B17" s="5" t="n">
        <f aca="false">B15+B16</f>
        <v>1150003.37</v>
      </c>
      <c r="C17" s="6" t="s">
        <v>397</v>
      </c>
    </row>
    <row r="18" customFormat="false" ht="15" hidden="false" customHeight="false" outlineLevel="0" collapsed="false">
      <c r="A18" s="4" t="s">
        <v>398</v>
      </c>
      <c r="B18" s="7" t="n">
        <f aca="false">B15/B17</f>
        <v>0.86127399783185</v>
      </c>
      <c r="C18" s="6" t="s">
        <v>399</v>
      </c>
    </row>
    <row r="19" customFormat="false" ht="15" hidden="false" customHeight="false" outlineLevel="0" collapsed="false">
      <c r="A19" s="4" t="s">
        <v>400</v>
      </c>
      <c r="B19" s="7" t="n">
        <f aca="false">B16/B17</f>
        <v>0.13872600216815</v>
      </c>
      <c r="C19" s="6" t="s">
        <v>401</v>
      </c>
    </row>
    <row r="20" customFormat="false" ht="18" hidden="false" customHeight="true" outlineLevel="0" collapsed="false">
      <c r="A20" s="4" t="s">
        <v>402</v>
      </c>
      <c r="B20" s="41" t="n">
        <f aca="false">B18*B8+B19*B14</f>
        <v>0.127656844436864</v>
      </c>
      <c r="C20" s="6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  <col collapsed="false" customWidth="true" hidden="false" outlineLevel="0" max="11" min="7" style="0" width="14"/>
  </cols>
  <sheetData>
    <row r="1" customFormat="false" ht="21.75" hidden="false" customHeight="true" outlineLevel="0" collapsed="false">
      <c r="A1" s="8" t="s">
        <v>404</v>
      </c>
    </row>
    <row r="3" customFormat="false" ht="15.75" hidden="false" customHeight="true" outlineLevel="0" collapsed="false">
      <c r="A3" s="3" t="s">
        <v>405</v>
      </c>
      <c r="B3" s="3"/>
      <c r="C3" s="3"/>
    </row>
    <row r="4" customFormat="false" ht="18" hidden="false" customHeight="true" outlineLevel="0" collapsed="false">
      <c r="A4" s="9" t="s">
        <v>114</v>
      </c>
      <c r="B4" s="12" t="s">
        <v>120</v>
      </c>
      <c r="C4" s="12" t="s">
        <v>121</v>
      </c>
      <c r="D4" s="12" t="s">
        <v>122</v>
      </c>
      <c r="E4" s="12" t="s">
        <v>123</v>
      </c>
      <c r="F4" s="12" t="s">
        <v>124</v>
      </c>
    </row>
    <row r="5" customFormat="false" ht="15" hidden="false" customHeight="false" outlineLevel="0" collapsed="false">
      <c r="A5" s="4" t="s">
        <v>406</v>
      </c>
      <c r="B5" s="15" t="n">
        <f aca="false">'Income Statement'!G25</f>
        <v>66826.116784</v>
      </c>
      <c r="C5" s="15" t="n">
        <f aca="false">'Income Statement'!H25</f>
        <v>75458.11486976</v>
      </c>
      <c r="D5" s="15" t="n">
        <f aca="false">'Income Statement'!I25</f>
        <v>84954.3507857408</v>
      </c>
      <c r="E5" s="15" t="n">
        <f aca="false">'Income Statement'!J25</f>
        <v>95466.5816147886</v>
      </c>
      <c r="F5" s="15" t="n">
        <f aca="false">'Income Statement'!K25</f>
        <v>107151.32169759</v>
      </c>
    </row>
    <row r="6" customFormat="false" ht="15" hidden="false" customHeight="false" outlineLevel="0" collapsed="false">
      <c r="A6" s="4" t="s">
        <v>407</v>
      </c>
      <c r="B6" s="15" t="n">
        <f aca="false">B5*'Assumptions &amp; Drivers'!$B$14</f>
        <v>16820.1335945328</v>
      </c>
      <c r="C6" s="15" t="n">
        <f aca="false">C5*'Assumptions &amp; Drivers'!$B$14</f>
        <v>18992.8075127186</v>
      </c>
      <c r="D6" s="15" t="n">
        <f aca="false">D5*'Assumptions &amp; Drivers'!$B$14</f>
        <v>21383.010092771</v>
      </c>
      <c r="E6" s="15" t="n">
        <f aca="false">E5*'Assumptions &amp; Drivers'!$B$14</f>
        <v>24028.9385924423</v>
      </c>
      <c r="F6" s="15" t="n">
        <f aca="false">F5*'Assumptions &amp; Drivers'!$B$14</f>
        <v>26969.9876712833</v>
      </c>
    </row>
    <row r="7" customFormat="false" ht="15" hidden="false" customHeight="false" outlineLevel="0" collapsed="false">
      <c r="A7" s="4" t="s">
        <v>408</v>
      </c>
      <c r="B7" s="15" t="n">
        <f aca="false">B5-B6</f>
        <v>50005.9831894672</v>
      </c>
      <c r="C7" s="15" t="n">
        <f aca="false">C5-C6</f>
        <v>56465.3073570414</v>
      </c>
      <c r="D7" s="15" t="n">
        <f aca="false">D5-D6</f>
        <v>63571.3406929698</v>
      </c>
      <c r="E7" s="15" t="n">
        <f aca="false">E5-E6</f>
        <v>71437.6430223463</v>
      </c>
      <c r="F7" s="15" t="n">
        <f aca="false">F5-F6</f>
        <v>80181.3340263064</v>
      </c>
    </row>
    <row r="8" customFormat="false" ht="15" hidden="false" customHeight="false" outlineLevel="0" collapsed="false">
      <c r="A8" s="4" t="s">
        <v>200</v>
      </c>
      <c r="B8" s="15" t="n">
        <f aca="false">'Income Statement'!G12</f>
        <v>11617.8076</v>
      </c>
      <c r="C8" s="15" t="n">
        <f aca="false">'Income Statement'!H12</f>
        <v>12399.08044032</v>
      </c>
      <c r="D8" s="15" t="n">
        <f aca="false">'Income Statement'!I12</f>
        <v>13445.7079615488</v>
      </c>
      <c r="E8" s="15" t="n">
        <f aca="false">'Income Statement'!J12</f>
        <v>14741.4841821757</v>
      </c>
      <c r="F8" s="15" t="n">
        <f aca="false">'Income Statement'!K12</f>
        <v>16281.7119950104</v>
      </c>
    </row>
    <row r="9" customFormat="false" ht="15" hidden="false" customHeight="false" outlineLevel="0" collapsed="false">
      <c r="A9" s="4" t="s">
        <v>409</v>
      </c>
      <c r="B9" s="39" t="n">
        <f aca="false">'WC &amp; PPE Schedule'!G18</f>
        <v>14408.067744</v>
      </c>
      <c r="C9" s="39" t="n">
        <f aca="false">'WC &amp; PPE Schedule'!H18</f>
        <v>16137.03587328</v>
      </c>
      <c r="D9" s="39" t="n">
        <f aca="false">'WC &amp; PPE Schedule'!I18</f>
        <v>18073.4801780736</v>
      </c>
      <c r="E9" s="39" t="n">
        <f aca="false">'WC &amp; PPE Schedule'!J18</f>
        <v>20242.2977994424</v>
      </c>
      <c r="F9" s="39" t="n">
        <f aca="false">'WC &amp; PPE Schedule'!K18</f>
        <v>22671.3735353755</v>
      </c>
    </row>
    <row r="10" customFormat="false" ht="15" hidden="false" customHeight="false" outlineLevel="0" collapsed="false">
      <c r="A10" s="4" t="s">
        <v>410</v>
      </c>
      <c r="B10" s="15" t="n">
        <f aca="false">'WC &amp; PPE Schedule'!G10</f>
        <v>2095.05054684931</v>
      </c>
      <c r="C10" s="15" t="n">
        <f aca="false">'WC &amp; PPE Schedule'!H10</f>
        <v>315.793265621905</v>
      </c>
      <c r="D10" s="15" t="n">
        <f aca="false">'WC &amp; PPE Schedule'!I10</f>
        <v>353.688457496566</v>
      </c>
      <c r="E10" s="15" t="n">
        <f aca="false">'WC &amp; PPE Schedule'!J10</f>
        <v>396.131072396136</v>
      </c>
      <c r="F10" s="15" t="n">
        <f aca="false">'WC &amp; PPE Schedule'!K10</f>
        <v>443.666801083658</v>
      </c>
    </row>
    <row r="11" customFormat="false" ht="15.75" hidden="false" customHeight="true" outlineLevel="0" collapsed="false">
      <c r="A11" s="19" t="s">
        <v>411</v>
      </c>
      <c r="B11" s="20" t="n">
        <f aca="false">B7+B8-B9-B10</f>
        <v>45120.6724986179</v>
      </c>
      <c r="C11" s="20" t="n">
        <f aca="false">C7+C8-C9-C10</f>
        <v>52411.5586584595</v>
      </c>
      <c r="D11" s="20" t="n">
        <f aca="false">D7+D8-D9-D10</f>
        <v>58589.8800189485</v>
      </c>
      <c r="E11" s="20" t="n">
        <f aca="false">E7+E8-E9-E10</f>
        <v>65540.6983326835</v>
      </c>
      <c r="F11" s="20" t="n">
        <f aca="false">F7+F8-F9-F10</f>
        <v>73348.0056848576</v>
      </c>
    </row>
    <row r="12" customFormat="false" ht="15" hidden="false" customHeight="false" outlineLevel="0" collapsed="false">
      <c r="A12" s="6" t="s">
        <v>412</v>
      </c>
      <c r="B12" s="42" t="n">
        <v>1</v>
      </c>
      <c r="C12" s="42" t="n">
        <v>2</v>
      </c>
      <c r="D12" s="42" t="n">
        <v>3</v>
      </c>
      <c r="E12" s="42" t="n">
        <v>4</v>
      </c>
      <c r="F12" s="42" t="n">
        <v>5</v>
      </c>
    </row>
    <row r="13" customFormat="false" ht="15" hidden="false" customHeight="false" outlineLevel="0" collapsed="false">
      <c r="A13" s="4" t="s">
        <v>413</v>
      </c>
      <c r="B13" s="43" t="n">
        <f aca="false">1/(1+'Capital Structure &amp; WACC'!$B$20)^B12</f>
        <v>0.886794599734271</v>
      </c>
      <c r="C13" s="43" t="n">
        <f aca="false">1/(1+'Capital Structure &amp; WACC'!$B$20)^C12</f>
        <v>0.786404662117866</v>
      </c>
      <c r="D13" s="43" t="n">
        <f aca="false">1/(1+'Capital Structure &amp; WACC'!$B$20)^D12</f>
        <v>0.697379407571977</v>
      </c>
      <c r="E13" s="43" t="n">
        <f aca="false">1/(1+'Capital Structure &amp; WACC'!$B$20)^E12</f>
        <v>0.618432292600715</v>
      </c>
      <c r="F13" s="43" t="n">
        <f aca="false">1/(1+'Capital Structure &amp; WACC'!$B$20)^F12</f>
        <v>0.548422417379598</v>
      </c>
    </row>
    <row r="14" customFormat="false" ht="15.75" hidden="false" customHeight="true" outlineLevel="0" collapsed="false">
      <c r="A14" s="21" t="s">
        <v>414</v>
      </c>
      <c r="B14" s="22" t="n">
        <f aca="false">B11*B13</f>
        <v>40012.768708153</v>
      </c>
      <c r="C14" s="22" t="n">
        <f aca="false">C11*C13</f>
        <v>41216.6940778765</v>
      </c>
      <c r="D14" s="22" t="n">
        <f aca="false">D11*D13</f>
        <v>40859.3758173275</v>
      </c>
      <c r="E14" s="22" t="n">
        <f aca="false">E11*E13</f>
        <v>40532.4843285333</v>
      </c>
      <c r="F14" s="22" t="n">
        <f aca="false">F11*F13</f>
        <v>40225.6905876621</v>
      </c>
    </row>
    <row r="16" customFormat="false" ht="15.75" hidden="false" customHeight="true" outlineLevel="0" collapsed="false">
      <c r="A16" s="3" t="s">
        <v>415</v>
      </c>
      <c r="B16" s="3"/>
      <c r="C16" s="3"/>
      <c r="H16" s="37" t="s">
        <v>416</v>
      </c>
    </row>
    <row r="17" customFormat="false" ht="18" hidden="false" customHeight="true" outlineLevel="0" collapsed="false">
      <c r="A17" s="9" t="s">
        <v>15</v>
      </c>
      <c r="B17" s="9" t="s">
        <v>16</v>
      </c>
      <c r="C17" s="9" t="s">
        <v>417</v>
      </c>
      <c r="H17" s="37" t="s">
        <v>418</v>
      </c>
      <c r="I17" s="37" t="s">
        <v>419</v>
      </c>
      <c r="J17" s="37" t="s">
        <v>420</v>
      </c>
      <c r="K17" s="37" t="s">
        <v>421</v>
      </c>
    </row>
    <row r="18" customFormat="false" ht="15" hidden="false" customHeight="false" outlineLevel="0" collapsed="false">
      <c r="A18" s="4" t="s">
        <v>422</v>
      </c>
      <c r="B18" s="15" t="n">
        <f aca="false">SUM(B14:F14)</f>
        <v>202847.013519552</v>
      </c>
      <c r="C18" s="6" t="s">
        <v>423</v>
      </c>
      <c r="H18" s="37" t="s">
        <v>424</v>
      </c>
      <c r="I18" s="0" t="n">
        <v>0</v>
      </c>
      <c r="J18" s="44" t="n">
        <f aca="false">B18</f>
        <v>202847.013519552</v>
      </c>
      <c r="K18" s="0" t="n">
        <v>0</v>
      </c>
    </row>
    <row r="19" customFormat="false" ht="15" hidden="false" customHeight="false" outlineLevel="0" collapsed="false">
      <c r="A19" s="4" t="s">
        <v>425</v>
      </c>
      <c r="B19" s="15" t="n">
        <f aca="false">F11*(1+'Assumptions &amp; Drivers'!$B$31)/('Capital Structure &amp; WACC'!$B$20-'Assumptions &amp; Drivers'!$B$31)</f>
        <v>991740.091006592</v>
      </c>
      <c r="C19" s="6" t="s">
        <v>426</v>
      </c>
      <c r="H19" s="37" t="s">
        <v>427</v>
      </c>
      <c r="I19" s="44" t="n">
        <f aca="false">B18</f>
        <v>202847.013519552</v>
      </c>
      <c r="J19" s="44" t="n">
        <f aca="false">B20</f>
        <v>543892.498122098</v>
      </c>
      <c r="K19" s="0" t="n">
        <v>0</v>
      </c>
    </row>
    <row r="20" customFormat="false" ht="15" hidden="false" customHeight="false" outlineLevel="0" collapsed="false">
      <c r="A20" s="4" t="s">
        <v>428</v>
      </c>
      <c r="B20" s="15" t="n">
        <f aca="false">B19*F13</f>
        <v>543892.498122098</v>
      </c>
      <c r="C20" s="6" t="s">
        <v>429</v>
      </c>
      <c r="H20" s="37" t="s">
        <v>430</v>
      </c>
      <c r="I20" s="0" t="n">
        <v>0</v>
      </c>
      <c r="J20" s="44" t="n">
        <f aca="false">B21</f>
        <v>746739.511641651</v>
      </c>
      <c r="K20" s="0" t="n">
        <v>0</v>
      </c>
    </row>
    <row r="21" customFormat="false" ht="15" hidden="false" customHeight="false" outlineLevel="0" collapsed="false">
      <c r="A21" s="4" t="s">
        <v>431</v>
      </c>
      <c r="B21" s="45" t="n">
        <f aca="false">B18+B20</f>
        <v>746739.511641651</v>
      </c>
      <c r="C21" s="6" t="s">
        <v>432</v>
      </c>
      <c r="H21" s="37" t="s">
        <v>433</v>
      </c>
      <c r="I21" s="37" t="n">
        <f aca="false">B21-B22</f>
        <v>587204.141641651</v>
      </c>
      <c r="J21" s="0" t="n">
        <v>0</v>
      </c>
      <c r="K21" s="44" t="n">
        <f aca="false">B22</f>
        <v>159535.37</v>
      </c>
    </row>
    <row r="22" customFormat="false" ht="15" hidden="false" customHeight="false" outlineLevel="0" collapsed="false">
      <c r="A22" s="4" t="s">
        <v>434</v>
      </c>
      <c r="B22" s="15" t="n">
        <f aca="false">'Balance Sheet'!F47</f>
        <v>159535.37</v>
      </c>
      <c r="C22" s="6" t="s">
        <v>395</v>
      </c>
      <c r="H22" s="37" t="s">
        <v>435</v>
      </c>
      <c r="I22" s="37" t="n">
        <f aca="false">B21-B22</f>
        <v>587204.141641651</v>
      </c>
      <c r="J22" s="44" t="n">
        <f aca="false">B23</f>
        <v>80372.53</v>
      </c>
      <c r="K22" s="0" t="n">
        <v>0</v>
      </c>
    </row>
    <row r="23" customFormat="false" ht="15" hidden="false" customHeight="false" outlineLevel="0" collapsed="false">
      <c r="A23" s="4" t="s">
        <v>436</v>
      </c>
      <c r="B23" s="15" t="n">
        <f aca="false">'Balance Sheet'!F48</f>
        <v>80372.53</v>
      </c>
      <c r="C23" s="6" t="s">
        <v>437</v>
      </c>
      <c r="H23" s="37" t="s">
        <v>438</v>
      </c>
      <c r="I23" s="0" t="n">
        <v>0</v>
      </c>
      <c r="J23" s="44" t="n">
        <f aca="false">B24</f>
        <v>667576.671641651</v>
      </c>
      <c r="K23" s="0" t="n">
        <v>0</v>
      </c>
    </row>
    <row r="24" customFormat="false" ht="15" hidden="false" customHeight="false" outlineLevel="0" collapsed="false">
      <c r="A24" s="4" t="s">
        <v>439</v>
      </c>
      <c r="B24" s="45" t="n">
        <f aca="false">B21-B22+B23</f>
        <v>667576.671641651</v>
      </c>
      <c r="C24" s="6" t="s">
        <v>440</v>
      </c>
    </row>
    <row r="25" customFormat="false" ht="15" hidden="false" customHeight="false" outlineLevel="0" collapsed="false">
      <c r="A25" s="4" t="s">
        <v>441</v>
      </c>
      <c r="B25" s="15" t="n">
        <f aca="false">'Cover &amp; Summary'!B10</f>
        <v>275.13</v>
      </c>
      <c r="C25" s="6" t="s">
        <v>442</v>
      </c>
    </row>
    <row r="26" customFormat="false" ht="15" hidden="false" customHeight="false" outlineLevel="0" collapsed="false">
      <c r="A26" s="4" t="s">
        <v>443</v>
      </c>
      <c r="B26" s="45" t="n">
        <f aca="false">B24/B25</f>
        <v>2426.40450565787</v>
      </c>
      <c r="C26" s="6" t="s">
        <v>444</v>
      </c>
    </row>
    <row r="27" customFormat="false" ht="15" hidden="false" customHeight="false" outlineLevel="0" collapsed="false">
      <c r="A27" s="4" t="s">
        <v>445</v>
      </c>
      <c r="B27" s="15" t="n">
        <f aca="false">'Cover &amp; Summary'!B9</f>
        <v>3600</v>
      </c>
      <c r="C27" s="6" t="s">
        <v>446</v>
      </c>
    </row>
    <row r="28" customFormat="false" ht="15" hidden="false" customHeight="false" outlineLevel="0" collapsed="false">
      <c r="A28" s="4" t="s">
        <v>24</v>
      </c>
      <c r="B28" s="39" t="n">
        <f aca="false">(B26-B27)/B27</f>
        <v>-0.325998748428369</v>
      </c>
      <c r="C28" s="6" t="s">
        <v>447</v>
      </c>
    </row>
    <row r="29" customFormat="false" ht="15" hidden="false" customHeight="false" outlineLevel="0" collapsed="false">
      <c r="A29" s="4"/>
      <c r="B29" s="15"/>
      <c r="C29" s="6"/>
    </row>
    <row r="32" customFormat="false" ht="15.75" hidden="false" customHeight="true" outlineLevel="0" collapsed="false">
      <c r="A32" s="3"/>
      <c r="B32" s="3"/>
      <c r="C32" s="3"/>
    </row>
    <row r="33" customFormat="false" ht="18" hidden="false" customHeight="true" outlineLevel="0" collapsed="false">
      <c r="A33" s="12"/>
      <c r="B33" s="12"/>
      <c r="C33" s="12"/>
      <c r="D33" s="12"/>
      <c r="E33" s="12"/>
      <c r="F33" s="12"/>
    </row>
    <row r="34" customFormat="false" ht="15" hidden="false" customHeight="false" outlineLevel="0" collapsed="false">
      <c r="A34" s="46"/>
      <c r="B34" s="15"/>
      <c r="C34" s="15"/>
      <c r="D34" s="15"/>
      <c r="E34" s="15"/>
      <c r="F34" s="15"/>
    </row>
    <row r="35" customFormat="false" ht="15" hidden="false" customHeight="false" outlineLevel="0" collapsed="false">
      <c r="A35" s="46"/>
      <c r="B35" s="15"/>
      <c r="C35" s="15"/>
      <c r="D35" s="15"/>
      <c r="E35" s="15"/>
      <c r="F35" s="15"/>
    </row>
    <row r="36" customFormat="false" ht="15" hidden="false" customHeight="false" outlineLevel="0" collapsed="false">
      <c r="A36" s="46"/>
      <c r="B36" s="15"/>
      <c r="C36" s="15"/>
      <c r="D36" s="15"/>
      <c r="E36" s="15"/>
      <c r="F36" s="15"/>
    </row>
    <row r="37" customFormat="false" ht="15" hidden="false" customHeight="false" outlineLevel="0" collapsed="false">
      <c r="A37" s="46"/>
      <c r="B37" s="15"/>
      <c r="C37" s="15"/>
      <c r="D37" s="15"/>
      <c r="E37" s="15"/>
      <c r="F3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12" min="4" style="0" width="14"/>
    <col collapsed="false" customWidth="true" hidden="false" outlineLevel="0" max="16" min="13" style="0" width="12"/>
  </cols>
  <sheetData>
    <row r="1" customFormat="false" ht="21.75" hidden="false" customHeight="true" outlineLevel="0" collapsed="false">
      <c r="A1" s="8" t="s">
        <v>448</v>
      </c>
    </row>
    <row r="3" customFormat="false" ht="15.75" hidden="false" customHeight="true" outlineLevel="0" collapsed="false">
      <c r="A3" s="3" t="s">
        <v>449</v>
      </c>
      <c r="B3" s="3"/>
      <c r="C3" s="3"/>
    </row>
    <row r="4" customFormat="false" ht="30" hidden="false" customHeight="true" outlineLevel="0" collapsed="false">
      <c r="A4" s="47" t="s">
        <v>450</v>
      </c>
      <c r="B4" s="47" t="s">
        <v>451</v>
      </c>
      <c r="C4" s="47" t="s">
        <v>452</v>
      </c>
      <c r="D4" s="47" t="s">
        <v>453</v>
      </c>
      <c r="E4" s="47" t="s">
        <v>454</v>
      </c>
      <c r="F4" s="47" t="s">
        <v>455</v>
      </c>
      <c r="G4" s="47" t="s">
        <v>456</v>
      </c>
      <c r="H4" s="47" t="s">
        <v>457</v>
      </c>
      <c r="I4" s="47" t="s">
        <v>458</v>
      </c>
      <c r="J4" s="47" t="s">
        <v>459</v>
      </c>
      <c r="K4" s="47" t="s">
        <v>460</v>
      </c>
      <c r="L4" s="47" t="s">
        <v>461</v>
      </c>
      <c r="M4" s="47" t="s">
        <v>462</v>
      </c>
      <c r="N4" s="47" t="s">
        <v>463</v>
      </c>
      <c r="O4" s="47" t="s">
        <v>464</v>
      </c>
      <c r="P4" s="47" t="s">
        <v>465</v>
      </c>
    </row>
    <row r="5" customFormat="false" ht="15.75" hidden="false" customHeight="true" outlineLevel="0" collapsed="false">
      <c r="A5" s="48" t="s">
        <v>466</v>
      </c>
      <c r="B5" s="22" t="n">
        <f aca="false">'Cover &amp; Summary'!B9</f>
        <v>3600</v>
      </c>
      <c r="C5" s="22" t="n">
        <f aca="false">'Cover &amp; Summary'!B10</f>
        <v>275.13</v>
      </c>
      <c r="D5" s="22" t="n">
        <f aca="false">B5*C5</f>
        <v>990468</v>
      </c>
      <c r="E5" s="22" t="n">
        <f aca="false">'Balance Sheet'!F47</f>
        <v>159535.37</v>
      </c>
      <c r="F5" s="22" t="n">
        <f aca="false">'Balance Sheet'!F48</f>
        <v>80372.53</v>
      </c>
      <c r="G5" s="22" t="n">
        <f aca="false">E5-F5</f>
        <v>79162.84</v>
      </c>
      <c r="H5" s="22" t="n">
        <f aca="false">D5+G5</f>
        <v>1069630.84</v>
      </c>
      <c r="I5" s="22" t="n">
        <f aca="false">'Income Statement'!F5</f>
        <v>285874.36</v>
      </c>
      <c r="J5" s="22" t="n">
        <f aca="false">'Income Statement'!F24</f>
        <v>68262.88</v>
      </c>
      <c r="K5" s="22" t="n">
        <f aca="false">'Income Statement'!F25</f>
        <v>63898.13</v>
      </c>
      <c r="L5" s="22" t="n">
        <f aca="false">'Income Statement'!F23</f>
        <v>58476.66</v>
      </c>
      <c r="M5" s="49" t="n">
        <f aca="false">H5/I5</f>
        <v>3.74161166464876</v>
      </c>
      <c r="N5" s="49" t="n">
        <f aca="false">H5/J5</f>
        <v>15.6692896637235</v>
      </c>
      <c r="O5" s="49" t="n">
        <f aca="false">H5/K5</f>
        <v>16.739626652611</v>
      </c>
      <c r="P5" s="49" t="n">
        <f aca="false">D5/L5</f>
        <v>16.9378346848127</v>
      </c>
    </row>
    <row r="6" customFormat="false" ht="15" hidden="false" customHeight="false" outlineLevel="0" collapsed="false">
      <c r="A6" s="4" t="s">
        <v>467</v>
      </c>
      <c r="B6" s="35" t="n">
        <v>1250</v>
      </c>
      <c r="C6" s="35" t="n">
        <v>16.25</v>
      </c>
      <c r="D6" s="35" t="n">
        <f aca="false">B6*C6</f>
        <v>20312.5</v>
      </c>
      <c r="E6" s="35" t="n">
        <v>3450</v>
      </c>
      <c r="F6" s="35" t="n">
        <v>850</v>
      </c>
      <c r="G6" s="35" t="n">
        <f aca="false">E6-F6</f>
        <v>2600</v>
      </c>
      <c r="H6" s="35" t="n">
        <f aca="false">D6+G6</f>
        <v>22912.5</v>
      </c>
      <c r="I6" s="35" t="n">
        <v>19500</v>
      </c>
      <c r="J6" s="35" t="n">
        <v>1911</v>
      </c>
      <c r="K6" s="35" t="n">
        <v>1423</v>
      </c>
      <c r="L6" s="35" t="n">
        <v>685</v>
      </c>
      <c r="M6" s="32" t="n">
        <f aca="false">H6/I6</f>
        <v>1.175</v>
      </c>
      <c r="N6" s="32" t="n">
        <f aca="false">H6/J6</f>
        <v>11.9897959183673</v>
      </c>
      <c r="O6" s="32" t="n">
        <f aca="false">H6/K6</f>
        <v>16.1015460295151</v>
      </c>
      <c r="P6" s="32" t="n">
        <f aca="false">D6/L6</f>
        <v>29.6532846715328</v>
      </c>
    </row>
    <row r="7" customFormat="false" ht="15" hidden="false" customHeight="false" outlineLevel="0" collapsed="false">
      <c r="A7" s="4" t="s">
        <v>468</v>
      </c>
      <c r="B7" s="14" t="n">
        <v>850</v>
      </c>
      <c r="C7" s="14" t="n">
        <v>25.71</v>
      </c>
      <c r="D7" s="14" t="n">
        <f aca="false">B7*C7</f>
        <v>21853.5</v>
      </c>
      <c r="E7" s="14" t="n">
        <v>4120</v>
      </c>
      <c r="F7" s="14" t="n">
        <v>620</v>
      </c>
      <c r="G7" s="14" t="n">
        <f aca="false">E7-F7</f>
        <v>3500</v>
      </c>
      <c r="H7" s="14" t="n">
        <f aca="false">D7+G7</f>
        <v>25353.5</v>
      </c>
      <c r="I7" s="14" t="n">
        <v>19900</v>
      </c>
      <c r="J7" s="14" t="n">
        <v>1691.5</v>
      </c>
      <c r="K7" s="14" t="n">
        <v>1285</v>
      </c>
      <c r="L7" s="14" t="n">
        <v>560</v>
      </c>
      <c r="M7" s="33" t="n">
        <f aca="false">H7/I7</f>
        <v>1.27404522613065</v>
      </c>
      <c r="N7" s="33" t="n">
        <f aca="false">H7/J7</f>
        <v>14.988767366243</v>
      </c>
      <c r="O7" s="33" t="n">
        <f aca="false">H7/K7</f>
        <v>19.7303501945525</v>
      </c>
      <c r="P7" s="33" t="n">
        <f aca="false">D7/L7</f>
        <v>39.0241071428571</v>
      </c>
    </row>
    <row r="8" customFormat="false" ht="15" hidden="false" customHeight="false" outlineLevel="0" collapsed="false">
      <c r="A8" s="4" t="s">
        <v>469</v>
      </c>
      <c r="B8" s="35" t="n">
        <v>315</v>
      </c>
      <c r="C8" s="35" t="n">
        <v>62.8</v>
      </c>
      <c r="D8" s="35" t="n">
        <f aca="false">B8*C8</f>
        <v>19782</v>
      </c>
      <c r="E8" s="35" t="n">
        <v>2150</v>
      </c>
      <c r="F8" s="35" t="n">
        <v>480</v>
      </c>
      <c r="G8" s="35" t="n">
        <f aca="false">E8-F8</f>
        <v>1670</v>
      </c>
      <c r="H8" s="35" t="n">
        <f aca="false">D8+G8</f>
        <v>21452</v>
      </c>
      <c r="I8" s="35" t="n">
        <v>20800</v>
      </c>
      <c r="J8" s="35" t="n">
        <v>2121.6</v>
      </c>
      <c r="K8" s="35" t="n">
        <v>1620</v>
      </c>
      <c r="L8" s="35" t="n">
        <v>810</v>
      </c>
      <c r="M8" s="32" t="n">
        <f aca="false">H8/I8</f>
        <v>1.03134615384615</v>
      </c>
      <c r="N8" s="32" t="n">
        <f aca="false">H8/J8</f>
        <v>10.1112368024133</v>
      </c>
      <c r="O8" s="32" t="n">
        <f aca="false">H8/K8</f>
        <v>13.241975308642</v>
      </c>
      <c r="P8" s="32" t="n">
        <f aca="false">D8/L8</f>
        <v>24.4222222222222</v>
      </c>
    </row>
    <row r="9" customFormat="false" ht="15" hidden="false" customHeight="false" outlineLevel="0" collapsed="false">
      <c r="A9" s="4" t="s">
        <v>470</v>
      </c>
      <c r="B9" s="14" t="n">
        <v>400</v>
      </c>
      <c r="C9" s="14" t="n">
        <v>208.5</v>
      </c>
      <c r="D9" s="14" t="n">
        <f aca="false">B9*C9</f>
        <v>83400</v>
      </c>
      <c r="E9" s="14" t="n">
        <v>6200</v>
      </c>
      <c r="F9" s="14" t="n">
        <v>3150</v>
      </c>
      <c r="G9" s="14" t="n">
        <f aca="false">E9-F9</f>
        <v>3050</v>
      </c>
      <c r="H9" s="14" t="n">
        <f aca="false">D9+G9</f>
        <v>86450</v>
      </c>
      <c r="I9" s="14" t="n">
        <v>21700</v>
      </c>
      <c r="J9" s="14" t="n">
        <v>1410.5</v>
      </c>
      <c r="K9" s="14" t="n">
        <v>1180</v>
      </c>
      <c r="L9" s="14" t="n">
        <v>1475</v>
      </c>
      <c r="M9" s="33" t="n">
        <f aca="false">H9/I9</f>
        <v>3.98387096774194</v>
      </c>
      <c r="N9" s="33" t="n">
        <f aca="false">H9/J9</f>
        <v>61.2903225806452</v>
      </c>
      <c r="O9" s="33" t="n">
        <f aca="false">H9/K9</f>
        <v>73.2627118644068</v>
      </c>
      <c r="P9" s="33" t="n">
        <f aca="false">D9/L9</f>
        <v>56.5423728813559</v>
      </c>
    </row>
    <row r="11" customFormat="false" ht="15.75" hidden="false" customHeight="true" outlineLevel="0" collapsed="false">
      <c r="A11" s="3" t="s">
        <v>471</v>
      </c>
      <c r="B11" s="3"/>
      <c r="C11" s="3"/>
    </row>
    <row r="12" customFormat="false" ht="18" hidden="false" customHeight="true" outlineLevel="0" collapsed="false">
      <c r="A12" s="12" t="s">
        <v>472</v>
      </c>
      <c r="B12" s="12" t="s">
        <v>473</v>
      </c>
      <c r="C12" s="12" t="s">
        <v>474</v>
      </c>
      <c r="D12" s="12" t="s">
        <v>475</v>
      </c>
      <c r="E12" s="12" t="s">
        <v>476</v>
      </c>
    </row>
    <row r="13" customFormat="false" ht="15" hidden="false" customHeight="false" outlineLevel="0" collapsed="false">
      <c r="A13" s="31" t="s">
        <v>477</v>
      </c>
      <c r="B13" s="33" t="n">
        <f aca="false">MEDIAN(M6:M9)</f>
        <v>1.22452261306533</v>
      </c>
      <c r="C13" s="33" t="n">
        <f aca="false">AVERAGE(M6:M9)</f>
        <v>1.86606558692969</v>
      </c>
      <c r="D13" s="33" t="n">
        <f aca="false">MIN(M6:M9)</f>
        <v>1.03134615384615</v>
      </c>
      <c r="E13" s="33" t="n">
        <f aca="false">MAX(M6:M9)</f>
        <v>3.98387096774194</v>
      </c>
    </row>
    <row r="14" customFormat="false" ht="15" hidden="false" customHeight="false" outlineLevel="0" collapsed="false">
      <c r="A14" s="31" t="s">
        <v>478</v>
      </c>
      <c r="B14" s="33" t="n">
        <f aca="false">MEDIAN(N6:N9)</f>
        <v>13.4892816423052</v>
      </c>
      <c r="C14" s="33" t="n">
        <f aca="false">AVERAGE(N6:N9)</f>
        <v>24.5950306669172</v>
      </c>
      <c r="D14" s="33" t="n">
        <f aca="false">MIN(N6:N9)</f>
        <v>10.1112368024133</v>
      </c>
      <c r="E14" s="33" t="n">
        <f aca="false">MAX(N6:N9)</f>
        <v>61.2903225806452</v>
      </c>
    </row>
    <row r="15" customFormat="false" ht="15" hidden="false" customHeight="false" outlineLevel="0" collapsed="false">
      <c r="A15" s="31" t="s">
        <v>479</v>
      </c>
      <c r="B15" s="33" t="n">
        <f aca="false">MEDIAN(O6:O9)</f>
        <v>17.9159481120338</v>
      </c>
      <c r="C15" s="33" t="n">
        <f aca="false">AVERAGE(O6:O9)</f>
        <v>30.5841458492791</v>
      </c>
      <c r="D15" s="33" t="n">
        <f aca="false">MIN(O6:O9)</f>
        <v>13.241975308642</v>
      </c>
      <c r="E15" s="33" t="n">
        <f aca="false">MAX(O6:O9)</f>
        <v>73.2627118644068</v>
      </c>
    </row>
    <row r="16" customFormat="false" ht="15" hidden="false" customHeight="false" outlineLevel="0" collapsed="false">
      <c r="A16" s="31" t="s">
        <v>480</v>
      </c>
      <c r="B16" s="33" t="n">
        <f aca="false">MEDIAN(P6:P9)</f>
        <v>34.338695907195</v>
      </c>
      <c r="C16" s="33" t="n">
        <f aca="false">AVERAGE(P6:P9)</f>
        <v>37.410496729492</v>
      </c>
      <c r="D16" s="33" t="n">
        <f aca="false">MIN(P6:P9)</f>
        <v>24.4222222222222</v>
      </c>
      <c r="E16" s="33" t="n">
        <f aca="false">MAX(P6:P9)</f>
        <v>56.5423728813559</v>
      </c>
    </row>
    <row r="18" customFormat="false" ht="15.75" hidden="false" customHeight="true" outlineLevel="0" collapsed="false">
      <c r="A18" s="3" t="s">
        <v>481</v>
      </c>
      <c r="B18" s="3"/>
      <c r="C18" s="3"/>
    </row>
    <row r="19" customFormat="false" ht="18" hidden="false" customHeight="true" outlineLevel="0" collapsed="false">
      <c r="A19" s="9" t="s">
        <v>482</v>
      </c>
      <c r="B19" s="9" t="s">
        <v>16</v>
      </c>
      <c r="C19" s="9" t="s">
        <v>417</v>
      </c>
    </row>
    <row r="20" customFormat="false" ht="15" hidden="false" customHeight="false" outlineLevel="0" collapsed="false">
      <c r="A20" s="4" t="s">
        <v>483</v>
      </c>
      <c r="B20" s="15" t="n">
        <f aca="false">B14*J5</f>
        <v>920817.21403488</v>
      </c>
      <c r="C20" s="6" t="s">
        <v>484</v>
      </c>
    </row>
    <row r="21" customFormat="false" ht="15" hidden="false" customHeight="false" outlineLevel="0" collapsed="false">
      <c r="A21" s="4" t="s">
        <v>485</v>
      </c>
      <c r="B21" s="15" t="n">
        <f aca="false">G5</f>
        <v>79162.84</v>
      </c>
      <c r="C21" s="6" t="s">
        <v>486</v>
      </c>
    </row>
    <row r="22" customFormat="false" ht="15" hidden="false" customHeight="false" outlineLevel="0" collapsed="false">
      <c r="A22" s="4" t="s">
        <v>487</v>
      </c>
      <c r="B22" s="15" t="n">
        <f aca="false">B20-B21</f>
        <v>841654.37403488</v>
      </c>
      <c r="C22" s="6" t="s">
        <v>488</v>
      </c>
    </row>
    <row r="23" customFormat="false" ht="15" hidden="false" customHeight="false" outlineLevel="0" collapsed="false">
      <c r="A23" s="4" t="s">
        <v>489</v>
      </c>
      <c r="B23" s="15" t="n">
        <f aca="false">C5</f>
        <v>275.13</v>
      </c>
      <c r="C23" s="6" t="s">
        <v>490</v>
      </c>
    </row>
    <row r="24" customFormat="false" ht="15" hidden="false" customHeight="false" outlineLevel="0" collapsed="false">
      <c r="A24" s="4" t="s">
        <v>491</v>
      </c>
      <c r="B24" s="45" t="n">
        <f aca="false">B22/B23</f>
        <v>3059.11523292582</v>
      </c>
      <c r="C24" s="6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8" t="s">
        <v>493</v>
      </c>
    </row>
    <row r="3" customFormat="false" ht="15" hidden="false" customHeight="false" outlineLevel="0" collapsed="false">
      <c r="A3" s="3" t="s">
        <v>494</v>
      </c>
    </row>
    <row r="4" customFormat="false" ht="15" hidden="false" customHeight="false" outlineLevel="0" collapsed="false">
      <c r="A4" s="6" t="s">
        <v>495</v>
      </c>
    </row>
    <row r="6" customFormat="false" ht="18" hidden="false" customHeight="true" outlineLevel="0" collapsed="false">
      <c r="A6" s="9" t="s">
        <v>114</v>
      </c>
      <c r="B6" s="12" t="s">
        <v>115</v>
      </c>
      <c r="C6" s="12" t="s">
        <v>116</v>
      </c>
      <c r="D6" s="12" t="s">
        <v>117</v>
      </c>
      <c r="E6" s="12" t="s">
        <v>118</v>
      </c>
      <c r="F6" s="12" t="s">
        <v>119</v>
      </c>
    </row>
    <row r="7" customFormat="false" ht="15" hidden="false" customHeight="false" outlineLevel="0" collapsed="false">
      <c r="A7" s="4" t="s">
        <v>496</v>
      </c>
      <c r="B7" s="14" t="n">
        <f aca="false">'Balance Sheet'!B44-'Balance Sheet'!B23</f>
        <v>48747.64</v>
      </c>
      <c r="C7" s="14" t="n">
        <f aca="false">'Balance Sheet'!C44-'Balance Sheet'!C23</f>
        <v>60138.33</v>
      </c>
      <c r="D7" s="14" t="n">
        <f aca="false">'Balance Sheet'!D44-'Balance Sheet'!D23</f>
        <v>41479.14</v>
      </c>
      <c r="E7" s="14" t="n">
        <f aca="false">'Balance Sheet'!E44-'Balance Sheet'!E23</f>
        <v>43370.81</v>
      </c>
      <c r="F7" s="14" t="n">
        <f aca="false">'Balance Sheet'!F44-'Balance Sheet'!F23</f>
        <v>63813.8</v>
      </c>
    </row>
    <row r="8" customFormat="false" ht="15" hidden="false" customHeight="false" outlineLevel="0" collapsed="false">
      <c r="A8" s="4" t="s">
        <v>497</v>
      </c>
      <c r="B8" s="14" t="n">
        <f aca="false">'Balance Sheet'!B45</f>
        <v>320048.92</v>
      </c>
      <c r="C8" s="14" t="n">
        <f aca="false">'Balance Sheet'!C45</f>
        <v>330352.31</v>
      </c>
      <c r="D8" s="14" t="n">
        <f aca="false">'Balance Sheet'!D45</f>
        <v>339627.24</v>
      </c>
      <c r="E8" s="14" t="n">
        <f aca="false">'Balance Sheet'!E45</f>
        <v>379524.1</v>
      </c>
      <c r="F8" s="14" t="n">
        <f aca="false">'Balance Sheet'!F45</f>
        <v>452549.89</v>
      </c>
    </row>
    <row r="9" customFormat="false" ht="15" hidden="false" customHeight="false" outlineLevel="0" collapsed="false">
      <c r="A9" s="50" t="s">
        <v>498</v>
      </c>
      <c r="B9" s="51" t="n">
        <f aca="false">B7/B8</f>
        <v>0.152313090136345</v>
      </c>
      <c r="C9" s="51" t="n">
        <f aca="false">C7/C8</f>
        <v>0.182043013411954</v>
      </c>
      <c r="D9" s="51" t="n">
        <f aca="false">D7/D8</f>
        <v>0.122131369674588</v>
      </c>
      <c r="E9" s="51" t="n">
        <f aca="false">E7/E8</f>
        <v>0.114276827215979</v>
      </c>
      <c r="F9" s="51" t="n">
        <f aca="false">F7/F8</f>
        <v>0.141009425502236</v>
      </c>
    </row>
    <row r="10" customFormat="false" ht="15" hidden="false" customHeight="false" outlineLevel="0" collapsed="false">
      <c r="A10" s="4" t="s">
        <v>499</v>
      </c>
      <c r="B10" s="14" t="n">
        <f aca="false">'Balance Sheet'!B7</f>
        <v>82126.65</v>
      </c>
      <c r="C10" s="14" t="n">
        <f aca="false">'Balance Sheet'!C7</f>
        <v>89044.85</v>
      </c>
      <c r="D10" s="14" t="n">
        <f aca="false">'Balance Sheet'!D7</f>
        <v>86084.31</v>
      </c>
      <c r="E10" s="14" t="n">
        <f aca="false">'Balance Sheet'!E7</f>
        <v>97380.56</v>
      </c>
      <c r="F10" s="14" t="n">
        <f aca="false">'Balance Sheet'!F7</f>
        <v>109014.67</v>
      </c>
    </row>
    <row r="11" customFormat="false" ht="15" hidden="false" customHeight="false" outlineLevel="0" collapsed="false">
      <c r="A11" s="4" t="s">
        <v>497</v>
      </c>
      <c r="B11" s="14" t="n">
        <f aca="false">'Balance Sheet'!B45</f>
        <v>320048.92</v>
      </c>
      <c r="C11" s="14" t="n">
        <f aca="false">'Balance Sheet'!C45</f>
        <v>330352.31</v>
      </c>
      <c r="D11" s="14" t="n">
        <f aca="false">'Balance Sheet'!D45</f>
        <v>339627.24</v>
      </c>
      <c r="E11" s="14" t="n">
        <f aca="false">'Balance Sheet'!E45</f>
        <v>379524.1</v>
      </c>
      <c r="F11" s="14" t="n">
        <f aca="false">'Balance Sheet'!F45</f>
        <v>452549.89</v>
      </c>
    </row>
    <row r="12" customFormat="false" ht="15" hidden="false" customHeight="false" outlineLevel="0" collapsed="false">
      <c r="A12" s="50" t="s">
        <v>500</v>
      </c>
      <c r="B12" s="51" t="n">
        <f aca="false">B10/B11</f>
        <v>0.256606552523283</v>
      </c>
      <c r="C12" s="51" t="n">
        <f aca="false">C10/C11</f>
        <v>0.269545110793988</v>
      </c>
      <c r="D12" s="51" t="n">
        <f aca="false">D10/D11</f>
        <v>0.253467036389661</v>
      </c>
      <c r="E12" s="51" t="n">
        <f aca="false">E10/E11</f>
        <v>0.256585971747249</v>
      </c>
      <c r="F12" s="51" t="n">
        <f aca="false">F10/F11</f>
        <v>0.240889838687178</v>
      </c>
    </row>
    <row r="13" customFormat="false" ht="15" hidden="false" customHeight="false" outlineLevel="0" collapsed="false">
      <c r="A13" s="4" t="s">
        <v>406</v>
      </c>
      <c r="B13" s="14" t="n">
        <f aca="false">'Income Statement'!B25</f>
        <v>32661.84</v>
      </c>
      <c r="C13" s="14" t="n">
        <f aca="false">'Income Statement'!C25</f>
        <v>33416.9</v>
      </c>
      <c r="D13" s="14" t="n">
        <f aca="false">'Income Statement'!D25</f>
        <v>48319.19</v>
      </c>
      <c r="E13" s="14" t="n">
        <f aca="false">'Income Statement'!E25</f>
        <v>55706.56</v>
      </c>
      <c r="F13" s="14" t="n">
        <f aca="false">'Income Statement'!F25</f>
        <v>63898.13</v>
      </c>
    </row>
    <row r="14" customFormat="false" ht="15" hidden="false" customHeight="false" outlineLevel="0" collapsed="false">
      <c r="A14" s="4" t="s">
        <v>497</v>
      </c>
      <c r="B14" s="14" t="n">
        <f aca="false">'Balance Sheet'!B45</f>
        <v>320048.92</v>
      </c>
      <c r="C14" s="14" t="n">
        <f aca="false">'Balance Sheet'!C45</f>
        <v>330352.31</v>
      </c>
      <c r="D14" s="14" t="n">
        <f aca="false">'Balance Sheet'!D45</f>
        <v>339627.24</v>
      </c>
      <c r="E14" s="14" t="n">
        <f aca="false">'Balance Sheet'!E45</f>
        <v>379524.1</v>
      </c>
      <c r="F14" s="14" t="n">
        <f aca="false">'Balance Sheet'!F45</f>
        <v>452549.89</v>
      </c>
    </row>
    <row r="15" customFormat="false" ht="15" hidden="false" customHeight="false" outlineLevel="0" collapsed="false">
      <c r="A15" s="50" t="s">
        <v>501</v>
      </c>
      <c r="B15" s="51" t="n">
        <f aca="false">B13/B14</f>
        <v>0.10205264870133</v>
      </c>
      <c r="C15" s="51" t="n">
        <f aca="false">C13/C14</f>
        <v>0.101155339280055</v>
      </c>
      <c r="D15" s="51" t="n">
        <f aca="false">D13/D14</f>
        <v>0.142271244202909</v>
      </c>
      <c r="E15" s="51" t="n">
        <f aca="false">E13/E14</f>
        <v>0.146780033204743</v>
      </c>
      <c r="F15" s="51" t="n">
        <f aca="false">F13/F14</f>
        <v>0.141195769597911</v>
      </c>
    </row>
    <row r="16" customFormat="false" ht="15" hidden="false" customHeight="false" outlineLevel="0" collapsed="false">
      <c r="A16" s="4" t="s">
        <v>502</v>
      </c>
      <c r="B16" s="14" t="n">
        <f aca="false">'Balance Sheet'!B8</f>
        <v>82407.66</v>
      </c>
      <c r="C16" s="14" t="n">
        <f aca="false">'Balance Sheet'!C8</f>
        <v>89325.95</v>
      </c>
      <c r="D16" s="14" t="n">
        <f aca="false">'Balance Sheet'!D8</f>
        <v>86359.24</v>
      </c>
      <c r="E16" s="14" t="n">
        <f aca="false">'Balance Sheet'!E8</f>
        <v>97655.6</v>
      </c>
      <c r="F16" s="14" t="n">
        <f aca="false">'Balance Sheet'!F8</f>
        <v>109289.8</v>
      </c>
    </row>
    <row r="17" customFormat="false" ht="15" hidden="false" customHeight="false" outlineLevel="0" collapsed="false">
      <c r="A17" s="4" t="s">
        <v>503</v>
      </c>
      <c r="B17" s="14" t="n">
        <f aca="false">'Balance Sheet'!B16+'Balance Sheet'!B23</f>
        <v>224675.19</v>
      </c>
      <c r="C17" s="14" t="n">
        <f aca="false">'Balance Sheet'!C16+'Balance Sheet'!C23</f>
        <v>226785.09</v>
      </c>
      <c r="D17" s="14" t="n">
        <f aca="false">'Balance Sheet'!D16+'Balance Sheet'!D23</f>
        <v>237077.58</v>
      </c>
      <c r="E17" s="14" t="n">
        <f aca="false">'Balance Sheet'!E16+'Balance Sheet'!E23</f>
        <v>264120.42</v>
      </c>
      <c r="F17" s="14" t="n">
        <f aca="false">'Balance Sheet'!F16+'Balance Sheet'!F23</f>
        <v>324019.43</v>
      </c>
    </row>
    <row r="18" customFormat="false" ht="15" hidden="false" customHeight="false" outlineLevel="0" collapsed="false">
      <c r="A18" s="50" t="s">
        <v>504</v>
      </c>
      <c r="B18" s="51" t="n">
        <f aca="false">B16/B17</f>
        <v>0.366785758587764</v>
      </c>
      <c r="C18" s="51" t="n">
        <f aca="false">C16/C17</f>
        <v>0.393879288977948</v>
      </c>
      <c r="D18" s="51" t="n">
        <f aca="false">D16/D17</f>
        <v>0.364265739510248</v>
      </c>
      <c r="E18" s="51" t="n">
        <f aca="false">E16/E17</f>
        <v>0.36973892438911</v>
      </c>
      <c r="F18" s="51" t="n">
        <f aca="false">F16/F17</f>
        <v>0.337293970302954</v>
      </c>
    </row>
    <row r="19" customFormat="false" ht="15" hidden="false" customHeight="false" outlineLevel="0" collapsed="false">
      <c r="A19" s="4" t="s">
        <v>126</v>
      </c>
      <c r="B19" s="14" t="n">
        <f aca="false">'Income Statement'!B5</f>
        <v>156521.23</v>
      </c>
      <c r="C19" s="14" t="n">
        <f aca="false">'Income Statement'!C5</f>
        <v>183340.7</v>
      </c>
      <c r="D19" s="14" t="n">
        <f aca="false">'Income Statement'!D5</f>
        <v>221112.89</v>
      </c>
      <c r="E19" s="14" t="n">
        <f aca="false">'Income Statement'!E5</f>
        <v>255734.45</v>
      </c>
      <c r="F19" s="14" t="n">
        <f aca="false">'Income Statement'!F5</f>
        <v>285874.36</v>
      </c>
    </row>
    <row r="20" customFormat="false" ht="15" hidden="false" customHeight="false" outlineLevel="0" collapsed="false">
      <c r="A20" s="4" t="s">
        <v>497</v>
      </c>
      <c r="B20" s="14" t="n">
        <f aca="false">'Balance Sheet'!B45</f>
        <v>320048.92</v>
      </c>
      <c r="C20" s="14" t="n">
        <f aca="false">'Balance Sheet'!C45</f>
        <v>330352.31</v>
      </c>
      <c r="D20" s="14" t="n">
        <f aca="false">'Balance Sheet'!D45</f>
        <v>339627.24</v>
      </c>
      <c r="E20" s="14" t="n">
        <f aca="false">'Balance Sheet'!E45</f>
        <v>379524.1</v>
      </c>
      <c r="F20" s="14" t="n">
        <f aca="false">'Balance Sheet'!F45</f>
        <v>452549.89</v>
      </c>
    </row>
    <row r="21" customFormat="false" ht="15" hidden="false" customHeight="false" outlineLevel="0" collapsed="false">
      <c r="A21" s="50" t="s">
        <v>505</v>
      </c>
      <c r="B21" s="51" t="n">
        <f aca="false">B19/B20</f>
        <v>0.48905407960758</v>
      </c>
      <c r="C21" s="51" t="n">
        <f aca="false">C19/C20</f>
        <v>0.554985373040074</v>
      </c>
      <c r="D21" s="51" t="n">
        <f aca="false">D19/D20</f>
        <v>0.651045805395351</v>
      </c>
      <c r="E21" s="51" t="n">
        <f aca="false">E19/E20</f>
        <v>0.673829277244844</v>
      </c>
      <c r="F21" s="51" t="n">
        <f aca="false">F19/F20</f>
        <v>0.631696894236346</v>
      </c>
    </row>
    <row r="22" customFormat="false" ht="18" hidden="false" customHeight="true" outlineLevel="0" collapsed="false">
      <c r="A22" s="19" t="s">
        <v>506</v>
      </c>
      <c r="B22" s="52" t="n">
        <f aca="false">1.2*B9+1.4*B12+3.3*B15+0.6*B18+1*B21</f>
        <v>1.58792415717084</v>
      </c>
      <c r="C22" s="52" t="n">
        <f aca="false">1.2*C9+1.4*C12+3.3*C15+0.6*C18+1*C21</f>
        <v>1.72094033725695</v>
      </c>
      <c r="D22" s="52" t="n">
        <f aca="false">1.2*D9+1.4*D12+3.3*D15+0.6*D18+1*D21</f>
        <v>1.84051184952613</v>
      </c>
      <c r="E22" s="52" t="n">
        <f aca="false">1.2*E9+1.4*E12+3.3*E15+0.6*E18+1*E21</f>
        <v>1.87639929455928</v>
      </c>
      <c r="F22" s="52" t="n">
        <f aca="false">1.2*F9+1.4*F12+3.3*F15+0.6*F18+1*F21</f>
        <v>1.80647640085596</v>
      </c>
    </row>
    <row r="23" customFormat="false" ht="15" hidden="false" customHeight="false" outlineLevel="0" collapsed="false">
      <c r="A23" s="6" t="s">
        <v>507</v>
      </c>
      <c r="B23" s="53" t="s">
        <v>508</v>
      </c>
      <c r="C23" s="53" t="s">
        <v>508</v>
      </c>
      <c r="D23" s="53" t="s">
        <v>508</v>
      </c>
      <c r="E23" s="53" t="s">
        <v>508</v>
      </c>
      <c r="F23" s="53" t="s">
        <v>508</v>
      </c>
    </row>
    <row r="25" customFormat="false" ht="15.75" hidden="false" customHeight="true" outlineLevel="0" collapsed="false">
      <c r="A25" s="3" t="s">
        <v>509</v>
      </c>
    </row>
    <row r="26" customFormat="false" ht="15" hidden="false" customHeight="false" outlineLevel="0" collapsed="false">
      <c r="A26" s="6" t="s">
        <v>510</v>
      </c>
    </row>
    <row r="28" customFormat="false" ht="18" hidden="false" customHeight="true" outlineLevel="0" collapsed="false">
      <c r="A28" s="9" t="s">
        <v>114</v>
      </c>
      <c r="B28" s="12" t="s">
        <v>115</v>
      </c>
      <c r="C28" s="12" t="s">
        <v>116</v>
      </c>
      <c r="D28" s="12" t="s">
        <v>117</v>
      </c>
      <c r="E28" s="12" t="s">
        <v>118</v>
      </c>
      <c r="F28" s="12" t="s">
        <v>119</v>
      </c>
    </row>
    <row r="29" customFormat="false" ht="15" hidden="false" customHeight="false" outlineLevel="0" collapsed="false">
      <c r="A29" s="4" t="s">
        <v>511</v>
      </c>
      <c r="B29" s="29" t="n">
        <f aca="false">'Income Statement'!B23/'Income Statement'!B5</f>
        <v>0.17506385555493</v>
      </c>
      <c r="C29" s="29" t="n">
        <f aca="false">'Income Statement'!C23/'Income Statement'!C5</f>
        <v>0.154078881557668</v>
      </c>
      <c r="D29" s="29" t="n">
        <f aca="false">'Income Statement'!D23/'Income Statement'!D5</f>
        <v>0.195844801268709</v>
      </c>
      <c r="E29" s="29" t="n">
        <f aca="false">'Income Statement'!E23/'Income Statement'!E5</f>
        <v>0.199794943543977</v>
      </c>
      <c r="F29" s="29" t="n">
        <f aca="false">'Income Statement'!F23/'Income Statement'!F5</f>
        <v>0.204553706740262</v>
      </c>
    </row>
    <row r="30" customFormat="false" ht="15" hidden="false" customHeight="false" outlineLevel="0" collapsed="false">
      <c r="A30" s="4" t="s">
        <v>512</v>
      </c>
      <c r="B30" s="14" t="n">
        <f aca="false">'Income Statement'!B5/'Balance Sheet'!B45</f>
        <v>0.48905407960758</v>
      </c>
      <c r="C30" s="14" t="n">
        <f aca="false">'Income Statement'!C5/'Balance Sheet'!C45</f>
        <v>0.554985373040074</v>
      </c>
      <c r="D30" s="14" t="n">
        <f aca="false">'Income Statement'!D5/'Balance Sheet'!D45</f>
        <v>0.651045805395351</v>
      </c>
      <c r="E30" s="14" t="n">
        <f aca="false">'Income Statement'!E5/'Balance Sheet'!E45</f>
        <v>0.673829277244844</v>
      </c>
      <c r="F30" s="14" t="n">
        <f aca="false">'Income Statement'!F5/'Balance Sheet'!F45</f>
        <v>0.631696894236346</v>
      </c>
    </row>
    <row r="31" customFormat="false" ht="15" hidden="false" customHeight="false" outlineLevel="0" collapsed="false">
      <c r="A31" s="4" t="s">
        <v>513</v>
      </c>
      <c r="B31" s="14" t="n">
        <f aca="false">'Balance Sheet'!B45/'Balance Sheet'!B8</f>
        <v>3.88372779909052</v>
      </c>
      <c r="C31" s="14" t="n">
        <f aca="false">'Balance Sheet'!C45/'Balance Sheet'!C8</f>
        <v>3.69827927942552</v>
      </c>
      <c r="D31" s="14" t="n">
        <f aca="false">'Balance Sheet'!D45/'Balance Sheet'!D8</f>
        <v>3.93272613330085</v>
      </c>
      <c r="E31" s="14" t="n">
        <f aca="false">'Balance Sheet'!E45/'Balance Sheet'!E8</f>
        <v>3.88635265156325</v>
      </c>
      <c r="F31" s="14" t="n">
        <f aca="false">'Balance Sheet'!F45/'Balance Sheet'!F8</f>
        <v>4.14082457832295</v>
      </c>
    </row>
    <row r="32" customFormat="false" ht="15.75" hidden="false" customHeight="true" outlineLevel="0" collapsed="false">
      <c r="A32" s="19" t="s">
        <v>514</v>
      </c>
      <c r="B32" s="54" t="n">
        <f aca="false">B29*B30*B31</f>
        <v>0.332508045975338</v>
      </c>
      <c r="C32" s="54" t="n">
        <f aca="false">C29*C30*C31</f>
        <v>0.316245503126471</v>
      </c>
      <c r="D32" s="54" t="n">
        <f aca="false">D29*D30*D31</f>
        <v>0.501438062678643</v>
      </c>
      <c r="E32" s="54" t="n">
        <f aca="false">E29*E30*E31</f>
        <v>0.52321065049009</v>
      </c>
      <c r="F32" s="54" t="n">
        <f aca="false">F29*F30*F31</f>
        <v>0.535060545448889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55"/>
    <col collapsed="false" customWidth="true" hidden="true" outlineLevel="0" max="8" min="7" style="0" width="13"/>
  </cols>
  <sheetData>
    <row r="1" customFormat="false" ht="21.75" hidden="false" customHeight="true" outlineLevel="0" collapsed="false">
      <c r="A1" s="8" t="s">
        <v>515</v>
      </c>
    </row>
    <row r="3" customFormat="false" ht="19.5" hidden="false" customHeight="true" outlineLevel="0" collapsed="false">
      <c r="A3" s="9" t="s">
        <v>516</v>
      </c>
      <c r="B3" s="47" t="s">
        <v>517</v>
      </c>
      <c r="C3" s="47" t="s">
        <v>518</v>
      </c>
      <c r="D3" s="47" t="s">
        <v>519</v>
      </c>
      <c r="E3" s="47" t="s">
        <v>520</v>
      </c>
      <c r="G3" s="37" t="s">
        <v>419</v>
      </c>
      <c r="H3" s="37" t="s">
        <v>521</v>
      </c>
    </row>
    <row r="4" customFormat="false" ht="19.5" hidden="false" customHeight="true" outlineLevel="0" collapsed="false">
      <c r="A4" s="55" t="s">
        <v>522</v>
      </c>
      <c r="B4" s="56" t="n">
        <v>2800</v>
      </c>
      <c r="C4" s="57" t="n">
        <v>3600</v>
      </c>
      <c r="D4" s="56" t="n">
        <v>3950</v>
      </c>
      <c r="E4" s="58" t="s">
        <v>523</v>
      </c>
      <c r="G4" s="44" t="n">
        <f aca="false">B4</f>
        <v>2800</v>
      </c>
      <c r="H4" s="37" t="n">
        <f aca="false">D4-B4</f>
        <v>1150</v>
      </c>
    </row>
    <row r="5" customFormat="false" ht="19.5" hidden="false" customHeight="true" outlineLevel="0" collapsed="false">
      <c r="A5" s="59" t="s">
        <v>524</v>
      </c>
      <c r="B5" s="60" t="n">
        <v>3250</v>
      </c>
      <c r="C5" s="61" t="n">
        <v>3450</v>
      </c>
      <c r="D5" s="60" t="n">
        <v>3650</v>
      </c>
      <c r="E5" s="62" t="s">
        <v>525</v>
      </c>
      <c r="G5" s="44" t="n">
        <f aca="false">B5</f>
        <v>3250</v>
      </c>
      <c r="H5" s="37" t="n">
        <f aca="false">D5-B5</f>
        <v>400</v>
      </c>
    </row>
    <row r="6" customFormat="false" ht="19.5" hidden="false" customHeight="true" outlineLevel="0" collapsed="false">
      <c r="A6" s="63" t="s">
        <v>25</v>
      </c>
      <c r="B6" s="64" t="n">
        <v>3600</v>
      </c>
      <c r="C6" s="65" t="n">
        <v>4125.5</v>
      </c>
      <c r="D6" s="64" t="n">
        <v>4400</v>
      </c>
      <c r="E6" s="66"/>
      <c r="G6" s="44" t="n">
        <f aca="false">B6</f>
        <v>3600</v>
      </c>
      <c r="H6" s="37" t="n">
        <f aca="false">D6-B6</f>
        <v>800</v>
      </c>
    </row>
    <row r="7" customFormat="false" ht="19.5" hidden="false" customHeight="true" outlineLevel="0" collapsed="false">
      <c r="A7" s="67" t="s">
        <v>526</v>
      </c>
      <c r="B7" s="68" t="n">
        <v>4200</v>
      </c>
      <c r="C7" s="69" t="n">
        <v>4650</v>
      </c>
      <c r="D7" s="68" t="n">
        <v>5100</v>
      </c>
      <c r="E7" s="70" t="s">
        <v>527</v>
      </c>
      <c r="G7" s="44" t="n">
        <f aca="false">B7</f>
        <v>4200</v>
      </c>
      <c r="H7" s="37" t="n">
        <f aca="false">D7-B7</f>
        <v>900</v>
      </c>
    </row>
    <row r="8" customFormat="false" ht="19.5" hidden="false" customHeight="true" outlineLevel="0" collapsed="false">
      <c r="A8" s="71" t="s">
        <v>528</v>
      </c>
      <c r="B8" s="72" t="n">
        <v>3100</v>
      </c>
      <c r="C8" s="73" t="n">
        <f aca="false">'Comparable Valuation'!B24</f>
        <v>3059.11523292582</v>
      </c>
      <c r="D8" s="72" t="n">
        <v>3900</v>
      </c>
      <c r="E8" s="74" t="s">
        <v>529</v>
      </c>
      <c r="G8" s="44" t="n">
        <f aca="false">B8</f>
        <v>3100</v>
      </c>
      <c r="H8" s="37" t="n">
        <f aca="false">D8-B8</f>
        <v>800</v>
      </c>
    </row>
    <row r="9" customFormat="false" ht="19.5" hidden="false" customHeight="true" outlineLevel="0" collapsed="false">
      <c r="A9" s="75" t="s">
        <v>530</v>
      </c>
      <c r="B9" s="76" t="n">
        <v>2950</v>
      </c>
      <c r="C9" s="77" t="n">
        <f aca="false">'Income Statement'!F23*'Comparable Valuation'!$B$16/'Cover &amp; Summary'!$B$10</f>
        <v>7298.41255191521</v>
      </c>
      <c r="D9" s="76" t="n">
        <v>3800</v>
      </c>
      <c r="E9" s="78" t="s">
        <v>531</v>
      </c>
      <c r="G9" s="44" t="n">
        <f aca="false">B9</f>
        <v>2950</v>
      </c>
      <c r="H9" s="37" t="n">
        <f aca="false">D9-B9</f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2026-08-13T19:24:28Z</dcterms:created>
  <dc:creator>openpyxl</dc:creator>
  <dc:description/>
  <dc:language>en-US</dc:language>
  <cp:lastModifiedBy/>
  <dcterms:modified xsi:type="dcterms:W3CDTF">2026-08-15T12:53:55Z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